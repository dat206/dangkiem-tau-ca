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8760" tabRatio="943" activeTab="6"/>
  </bookViews>
  <sheets>
    <sheet name="Quảng Ninh" sheetId="24" r:id="rId1"/>
    <sheet name="Ha tĩnh" sheetId="23" r:id="rId2"/>
    <sheet name="Ninh Bình" sheetId="22" r:id="rId3"/>
    <sheet name="Hưng Yên" sheetId="20" r:id="rId4"/>
    <sheet name="nghệ an" sheetId="19" r:id="rId5"/>
    <sheet name="THANH HÓA" sheetId="21" r:id="rId6"/>
    <sheet name="TỔNG HỢP" sheetId="13" r:id="rId7"/>
  </sheets>
  <definedNames>
    <definedName name="_xlnm.Print_Area" localSheetId="1">'Ha tĩnh'!$A$1:$U$22</definedName>
    <definedName name="_xlnm.Print_Area" localSheetId="3">'Hưng Yên'!$A$1:$U$22</definedName>
    <definedName name="_xlnm.Print_Area" localSheetId="2">'Ninh Bình'!$A$1:$U$22</definedName>
    <definedName name="_xlnm.Print_Area" localSheetId="4">'nghệ an'!$A$1:$U$22</definedName>
    <definedName name="_xlnm.Print_Area" localSheetId="0">'Quảng Ninh'!$A$1:$U$22</definedName>
    <definedName name="_xlnm.Print_Area" localSheetId="6">'TỔNG HỢP'!$A$1:$U$22</definedName>
    <definedName name="_xlnm.Print_Area" localSheetId="5">'THANH HÓA'!$A$1:$U$22</definedName>
  </definedNames>
  <calcPr calcId="162913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4" i="24" l="1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3" i="24"/>
  <c r="E13" i="24"/>
  <c r="D13" i="24"/>
  <c r="F12" i="24"/>
  <c r="E12" i="24"/>
  <c r="D12" i="24"/>
  <c r="F11" i="24"/>
  <c r="E11" i="24"/>
  <c r="D11" i="24"/>
  <c r="C11" i="24" s="1"/>
  <c r="F10" i="24"/>
  <c r="E10" i="24"/>
  <c r="D10" i="24"/>
  <c r="F9" i="24"/>
  <c r="F14" i="24" s="1"/>
  <c r="E9" i="24"/>
  <c r="D9" i="24"/>
  <c r="F13" i="21"/>
  <c r="E13" i="21"/>
  <c r="D13" i="21"/>
  <c r="C13" i="21" s="1"/>
  <c r="F12" i="21"/>
  <c r="E12" i="21"/>
  <c r="D12" i="21"/>
  <c r="C12" i="21" s="1"/>
  <c r="F11" i="21"/>
  <c r="E11" i="21"/>
  <c r="D11" i="21"/>
  <c r="C11" i="21" s="1"/>
  <c r="F10" i="21"/>
  <c r="E10" i="21"/>
  <c r="D10" i="21"/>
  <c r="C10" i="21" s="1"/>
  <c r="F9" i="21"/>
  <c r="E9" i="21"/>
  <c r="D9" i="21"/>
  <c r="C9" i="21" s="1"/>
  <c r="F13" i="19"/>
  <c r="E13" i="19"/>
  <c r="D13" i="19"/>
  <c r="C13" i="19"/>
  <c r="F12" i="19"/>
  <c r="E12" i="19"/>
  <c r="D12" i="19"/>
  <c r="C12" i="19"/>
  <c r="F11" i="19"/>
  <c r="E11" i="19"/>
  <c r="D11" i="19"/>
  <c r="C11" i="19"/>
  <c r="F10" i="19"/>
  <c r="E10" i="19"/>
  <c r="D10" i="19"/>
  <c r="C10" i="19" s="1"/>
  <c r="F9" i="19"/>
  <c r="E9" i="19"/>
  <c r="D9" i="19"/>
  <c r="F13" i="20"/>
  <c r="E13" i="20"/>
  <c r="D13" i="20"/>
  <c r="C13" i="20"/>
  <c r="F12" i="20"/>
  <c r="E12" i="20"/>
  <c r="D12" i="20"/>
  <c r="C12" i="20"/>
  <c r="F11" i="20"/>
  <c r="E11" i="20"/>
  <c r="D11" i="20"/>
  <c r="C11" i="20"/>
  <c r="F10" i="20"/>
  <c r="E10" i="20"/>
  <c r="D10" i="20"/>
  <c r="C10" i="20"/>
  <c r="F9" i="20"/>
  <c r="E9" i="20"/>
  <c r="D9" i="20"/>
  <c r="C9" i="20"/>
  <c r="F13" i="22"/>
  <c r="E13" i="22"/>
  <c r="D13" i="22"/>
  <c r="C13" i="22"/>
  <c r="F12" i="22"/>
  <c r="E12" i="22"/>
  <c r="D12" i="22"/>
  <c r="C12" i="22"/>
  <c r="F11" i="22"/>
  <c r="E11" i="22"/>
  <c r="D11" i="22"/>
  <c r="C11" i="22"/>
  <c r="F10" i="22"/>
  <c r="E10" i="22"/>
  <c r="D10" i="22"/>
  <c r="C10" i="22" s="1"/>
  <c r="F9" i="22"/>
  <c r="E9" i="22"/>
  <c r="D9" i="22"/>
  <c r="C9" i="22" s="1"/>
  <c r="C11" i="23"/>
  <c r="C12" i="23"/>
  <c r="C13" i="23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3" i="23"/>
  <c r="E13" i="23"/>
  <c r="D13" i="23"/>
  <c r="F12" i="23"/>
  <c r="E12" i="23"/>
  <c r="D12" i="23"/>
  <c r="F11" i="23"/>
  <c r="E11" i="23"/>
  <c r="D11" i="23"/>
  <c r="F10" i="23"/>
  <c r="E10" i="23"/>
  <c r="D10" i="23"/>
  <c r="C10" i="23" s="1"/>
  <c r="F9" i="23"/>
  <c r="F14" i="23" s="1"/>
  <c r="E9" i="23"/>
  <c r="E14" i="23" s="1"/>
  <c r="D9" i="2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D10" i="13"/>
  <c r="C10" i="13" s="1"/>
  <c r="E10" i="13"/>
  <c r="F10" i="13"/>
  <c r="D11" i="13"/>
  <c r="C11" i="13" s="1"/>
  <c r="E11" i="13"/>
  <c r="F11" i="13"/>
  <c r="D12" i="13"/>
  <c r="C12" i="13" s="1"/>
  <c r="E12" i="13"/>
  <c r="F12" i="13"/>
  <c r="D13" i="13"/>
  <c r="E13" i="13"/>
  <c r="F13" i="13"/>
  <c r="C13" i="13" s="1"/>
  <c r="E9" i="13"/>
  <c r="F9" i="13"/>
  <c r="C9" i="13" s="1"/>
  <c r="D9" i="13"/>
  <c r="C10" i="24" l="1"/>
  <c r="C9" i="24"/>
  <c r="C13" i="24"/>
  <c r="E14" i="24"/>
  <c r="C12" i="24"/>
  <c r="D14" i="24"/>
  <c r="D14" i="19"/>
  <c r="C9" i="19"/>
  <c r="C14" i="22"/>
  <c r="D14" i="23"/>
  <c r="C9" i="23"/>
  <c r="C14" i="23" s="1"/>
  <c r="D14" i="13"/>
  <c r="F14" i="13"/>
  <c r="E14" i="13"/>
  <c r="E14" i="21"/>
  <c r="D14" i="21"/>
  <c r="F14" i="21"/>
  <c r="C14" i="21"/>
  <c r="C14" i="19"/>
  <c r="C14" i="20"/>
  <c r="D14" i="22"/>
  <c r="C14" i="13"/>
  <c r="C14" i="24" l="1"/>
</calcChain>
</file>

<file path=xl/sharedStrings.xml><?xml version="1.0" encoding="utf-8"?>
<sst xmlns="http://schemas.openxmlformats.org/spreadsheetml/2006/main" count="297" uniqueCount="40">
  <si>
    <t>Định kỳ</t>
  </si>
  <si>
    <t>Trên đà</t>
  </si>
  <si>
    <t>Hàng năm</t>
  </si>
  <si>
    <t>TT</t>
  </si>
  <si>
    <t>Nhóm tàu</t>
  </si>
  <si>
    <t xml:space="preserve">Tổng số tàu phải đăng kiểm </t>
  </si>
  <si>
    <t>Gỗ</t>
  </si>
  <si>
    <t xml:space="preserve">Thép </t>
  </si>
  <si>
    <t>FRP</t>
  </si>
  <si>
    <t>Lmax từ 12 ÷ &lt; 15m</t>
  </si>
  <si>
    <t>Lmax từ 15 ÷ &lt; 20m</t>
  </si>
  <si>
    <t>Lmax từ 20 ÷ &lt; 24m</t>
  </si>
  <si>
    <t>Lmax từ 24 ÷ &lt; 30m</t>
  </si>
  <si>
    <t xml:space="preserve">Lmax từ ≥ 30m  </t>
  </si>
  <si>
    <t>Tổng Cộng</t>
  </si>
  <si>
    <r>
      <t xml:space="preserve">CÔNG TY CP CÔNG NGHỆ CAO
</t>
    </r>
    <r>
      <rPr>
        <b/>
        <sz val="13"/>
        <color rgb="FF000000"/>
        <rFont val="Times New Roman"/>
        <family val="1"/>
      </rPr>
      <t>HOÀNG BẢO MINH</t>
    </r>
  </si>
  <si>
    <r>
      <t xml:space="preserve">CỘNG HÒA XÃ HỘI CHỦ NGHĨA VIỆT NAM
</t>
    </r>
    <r>
      <rPr>
        <b/>
        <sz val="13"/>
        <color rgb="FF000000"/>
        <rFont val="Times New Roman"/>
        <family val="1"/>
      </rPr>
      <t>Đốc Lập-Tự do- Hạnh phúc</t>
    </r>
  </si>
  <si>
    <t>Số tàu theo vật liệu vỏ</t>
  </si>
  <si>
    <r>
      <t xml:space="preserve">Tổng số tàu cá đã đăng kiểm
</t>
    </r>
    <r>
      <rPr>
        <sz val="10"/>
        <color rgb="FF000000"/>
        <rFont val="Times New Roman"/>
        <family val="1"/>
      </rPr>
      <t>(đến thời điểm báo cáo)</t>
    </r>
  </si>
  <si>
    <t>Số tàu đóng mới/
lần đầu</t>
  </si>
  <si>
    <t>Cải hoán</t>
  </si>
  <si>
    <t>Mẫu số 04.BC</t>
  </si>
  <si>
    <t>NGƯỜI LẬP</t>
  </si>
  <si>
    <t>Đào Trọng Hưng</t>
  </si>
  <si>
    <r>
      <t xml:space="preserve">Tổng số tàu cá đã đăng kiểm
</t>
    </r>
    <r>
      <rPr>
        <i/>
        <sz val="10"/>
        <color rgb="FF000000"/>
        <rFont val="Times New Roman"/>
        <family val="1"/>
      </rPr>
      <t>(đến thời điểm báo cáo)</t>
    </r>
  </si>
  <si>
    <t>BÁO CÁO TÌNH HÌNH ĐĂNG KIỂM TÀU CÁ QUÝ I NĂM 2025</t>
  </si>
  <si>
    <t xml:space="preserve">Thanh Hóa, ngày     tháng 3 năm 2026 </t>
  </si>
  <si>
    <r>
      <t xml:space="preserve">BÁO CÁO TÌNH HÌNH ĐĂNG KIỂM </t>
    </r>
    <r>
      <rPr>
        <b/>
        <sz val="12"/>
        <color theme="1"/>
        <rFont val="Times New Roman"/>
        <family val="1"/>
      </rPr>
      <t>TÀU CÁ QUÝ I</t>
    </r>
    <r>
      <rPr>
        <b/>
        <sz val="12"/>
        <color rgb="FF000000"/>
        <rFont val="Times New Roman"/>
        <family val="1"/>
      </rPr>
      <t xml:space="preserve"> NĂM 2026 </t>
    </r>
  </si>
  <si>
    <t xml:space="preserve">Thanh Hóa, ngày    tháng 3 năm 2026  </t>
  </si>
  <si>
    <t>BÁO CÁO TÌNH HÌNH ĐĂNG KIỂM TÀU CÁ QUÝ I NĂM 2026</t>
  </si>
  <si>
    <t>Ninh Bình</t>
  </si>
  <si>
    <r>
      <rPr>
        <b/>
        <sz val="12"/>
        <color theme="1"/>
        <rFont val="Times New Roman"/>
        <family val="1"/>
      </rPr>
      <t>Phu lục 2</t>
    </r>
    <r>
      <rPr>
        <sz val="12"/>
        <color theme="1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>( kèm theo Công văn số      /BC/ĐKTC ngày      /3/2026 của Công ty CP công nghệ cao Hoàng Bảo Minh)</t>
    </r>
  </si>
  <si>
    <r>
      <rPr>
        <b/>
        <sz val="12"/>
        <color theme="1"/>
        <rFont val="Times New Roman"/>
        <family val="1"/>
      </rPr>
      <t>Phu lục 3</t>
    </r>
    <r>
      <rPr>
        <sz val="12"/>
        <color theme="1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>( kèm theo Công văn số      /BC/ĐKTC ngày     /3/2026 của Công ty CP công nghệ cao Hoàng Bảo Minh)</t>
    </r>
  </si>
  <si>
    <r>
      <rPr>
        <b/>
        <sz val="12"/>
        <color theme="1"/>
        <rFont val="Times New Roman"/>
        <family val="1"/>
      </rPr>
      <t>Phu lục 4</t>
    </r>
    <r>
      <rPr>
        <sz val="12"/>
        <color theme="1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>( kèm theo Công văn số      /BC/ĐKTC ngày    /3/2026 của Công ty CP công nghệ cao Hoàng Bảo Minh)</t>
    </r>
  </si>
  <si>
    <r>
      <rPr>
        <b/>
        <sz val="12"/>
        <color theme="1"/>
        <rFont val="Times New Roman"/>
        <family val="1"/>
      </rPr>
      <t>Phu lục 5</t>
    </r>
    <r>
      <rPr>
        <sz val="12"/>
        <color theme="1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>( kèm theo Công văn số      /BC/ĐKTC ngày      /3/2026 của Công ty CP công nghệ cao Hoàng Bảo Minh)</t>
    </r>
  </si>
  <si>
    <r>
      <rPr>
        <b/>
        <sz val="12"/>
        <color theme="1"/>
        <rFont val="Times New Roman"/>
        <family val="1"/>
      </rPr>
      <t>Phu lục 6</t>
    </r>
    <r>
      <rPr>
        <sz val="12"/>
        <color theme="1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>( kèm theo Công văn số      /BC/ĐKTC ngày     /3/2026 của Công ty CP công nghệ cao Hoàng Bảo Minh)</t>
    </r>
  </si>
  <si>
    <t>Thanh Hóa, ngày      tháng 3 năm 2026</t>
  </si>
  <si>
    <r>
      <rPr>
        <b/>
        <sz val="12"/>
        <color theme="1"/>
        <rFont val="Times New Roman"/>
        <family val="1"/>
      </rPr>
      <t>Phu lục 7</t>
    </r>
    <r>
      <rPr>
        <sz val="12"/>
        <color theme="1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>( kèm theo Công văn số      /BC/ĐKTC ngày     /3/2026 của Công ty CP công nghệ cao Hoàng Bảo Minh)</t>
    </r>
  </si>
  <si>
    <t xml:space="preserve">Thanh Hóa, ngày      tháng 3 năm 2026 </t>
  </si>
  <si>
    <r>
      <rPr>
        <b/>
        <sz val="12"/>
        <color theme="1"/>
        <rFont val="Times New Roman"/>
        <family val="1"/>
      </rPr>
      <t>Phu lục 8</t>
    </r>
    <r>
      <rPr>
        <sz val="12"/>
        <color theme="1"/>
        <rFont val="Times New Roman"/>
        <family val="1"/>
      </rPr>
      <t xml:space="preserve">
</t>
    </r>
    <r>
      <rPr>
        <i/>
        <sz val="12"/>
        <color theme="1"/>
        <rFont val="Times New Roman"/>
        <family val="1"/>
      </rPr>
      <t>( kèm theo Công văn số      /BC/ĐKTC ngày     /3/2026 của Công ty CP công nghệ cao Hoàng Bảo Minh)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</si>
</sst>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3"/>
      <color rgb="FF000000"/>
      <name val="Times New Roman"/>
      <family val="1"/>
    </font>
    <font>
      <b/>
      <sz val="11.5"/>
      <color rgb="FF000000"/>
      <name val="Times New Roman"/>
      <family val="1"/>
    </font>
    <font>
      <sz val="11.5"/>
      <color rgb="FF000000"/>
      <name val="Times New Roman"/>
      <family val="1"/>
    </font>
    <font>
      <b/>
      <sz val="11"/>
      <color rgb="FF000000"/>
      <name val="Times New Roman"/>
      <family val="1"/>
    </font>
    <font>
      <i/>
      <sz val="12"/>
      <color rgb="FF000000"/>
      <name val="Times New Roman"/>
      <family val="1"/>
    </font>
    <font>
      <sz val="10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Border="1"/>
    <xf numFmtId="0" fontId="7" fillId="0" borderId="0" xfId="0" applyFont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Normal" xfId="0" builtinId="0"/>
    <cellStyle name="Normal 2_BTong hop(08) (Autosaved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264035</xdr:colOff>
      <xdr:row>2</xdr:row>
      <xdr:rowOff>234042</xdr:rowOff>
    </xdr:from>
    <xdr:to>
      <xdr:col>1</xdr:col>
      <xdr:colOff>1262743</xdr:colOff>
      <xdr:row>2</xdr:row>
      <xdr:rowOff>236232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E7B15F0-BBF5-4EA2-B49E-5CBA523FC1E1}"/>
            </a:ext>
          </a:extLst>
        </xdr:cNvPr>
        <xdr:cNvCxnSpPr/>
      </xdr:nvCxnSpPr>
      <xdr:spPr>
        <a:xfrm flipV="1">
          <a:off x="645035" y="919842"/>
          <a:ext cx="998708" cy="2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124788</xdr:colOff>
      <xdr:row>2</xdr:row>
      <xdr:rowOff>250032</xdr:rowOff>
    </xdr:from>
    <xdr:to>
      <xdr:col>11</xdr:col>
      <xdr:colOff>232171</xdr:colOff>
      <xdr:row>2</xdr:row>
      <xdr:rowOff>253603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C9B6CEB-5A59-4D87-A995-975020AA8A49}"/>
            </a:ext>
          </a:extLst>
        </xdr:cNvPr>
        <xdr:cNvCxnSpPr/>
      </xdr:nvCxnSpPr>
      <xdr:spPr>
        <a:xfrm flipV="1">
          <a:off x="3763338" y="935832"/>
          <a:ext cx="1869508" cy="35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264035</xdr:colOff>
      <xdr:row>2</xdr:row>
      <xdr:rowOff>234042</xdr:rowOff>
    </xdr:from>
    <xdr:to>
      <xdr:col>1</xdr:col>
      <xdr:colOff>1262743</xdr:colOff>
      <xdr:row>2</xdr:row>
      <xdr:rowOff>236232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2863938-3E58-4388-9F01-2BE7501ADAA5}"/>
            </a:ext>
          </a:extLst>
        </xdr:cNvPr>
        <xdr:cNvCxnSpPr/>
      </xdr:nvCxnSpPr>
      <xdr:spPr>
        <a:xfrm flipV="1">
          <a:off x="645035" y="919842"/>
          <a:ext cx="998708" cy="2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124788</xdr:colOff>
      <xdr:row>2</xdr:row>
      <xdr:rowOff>250032</xdr:rowOff>
    </xdr:from>
    <xdr:to>
      <xdr:col>11</xdr:col>
      <xdr:colOff>232171</xdr:colOff>
      <xdr:row>2</xdr:row>
      <xdr:rowOff>253603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1772AB1-604F-4DEE-B040-0AEFBE953DF5}"/>
            </a:ext>
          </a:extLst>
        </xdr:cNvPr>
        <xdr:cNvCxnSpPr/>
      </xdr:nvCxnSpPr>
      <xdr:spPr>
        <a:xfrm flipV="1">
          <a:off x="3763338" y="935832"/>
          <a:ext cx="1869508" cy="35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264035</xdr:colOff>
      <xdr:row>2</xdr:row>
      <xdr:rowOff>234042</xdr:rowOff>
    </xdr:from>
    <xdr:to>
      <xdr:col>1</xdr:col>
      <xdr:colOff>1262743</xdr:colOff>
      <xdr:row>2</xdr:row>
      <xdr:rowOff>236232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E47625F-16B6-4E3A-9770-CAEBC5414929}"/>
            </a:ext>
          </a:extLst>
        </xdr:cNvPr>
        <xdr:cNvCxnSpPr/>
      </xdr:nvCxnSpPr>
      <xdr:spPr>
        <a:xfrm flipV="1">
          <a:off x="645035" y="919842"/>
          <a:ext cx="998708" cy="2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124788</xdr:colOff>
      <xdr:row>2</xdr:row>
      <xdr:rowOff>250032</xdr:rowOff>
    </xdr:from>
    <xdr:to>
      <xdr:col>11</xdr:col>
      <xdr:colOff>232171</xdr:colOff>
      <xdr:row>2</xdr:row>
      <xdr:rowOff>253603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6673419-AF84-4CC5-AFCA-B6F0309BE3F6}"/>
            </a:ext>
          </a:extLst>
        </xdr:cNvPr>
        <xdr:cNvCxnSpPr/>
      </xdr:nvCxnSpPr>
      <xdr:spPr>
        <a:xfrm flipV="1">
          <a:off x="3763338" y="935832"/>
          <a:ext cx="1869508" cy="35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264035</xdr:colOff>
      <xdr:row>2</xdr:row>
      <xdr:rowOff>234042</xdr:rowOff>
    </xdr:from>
    <xdr:to>
      <xdr:col>1</xdr:col>
      <xdr:colOff>1262743</xdr:colOff>
      <xdr:row>2</xdr:row>
      <xdr:rowOff>236232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645035" y="919842"/>
          <a:ext cx="998708" cy="2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124788</xdr:colOff>
      <xdr:row>2</xdr:row>
      <xdr:rowOff>250032</xdr:rowOff>
    </xdr:from>
    <xdr:to>
      <xdr:col>11</xdr:col>
      <xdr:colOff>232171</xdr:colOff>
      <xdr:row>2</xdr:row>
      <xdr:rowOff>253603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3763338" y="935832"/>
          <a:ext cx="1869508" cy="35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264035</xdr:colOff>
      <xdr:row>2</xdr:row>
      <xdr:rowOff>234042</xdr:rowOff>
    </xdr:from>
    <xdr:to>
      <xdr:col>1</xdr:col>
      <xdr:colOff>1262743</xdr:colOff>
      <xdr:row>2</xdr:row>
      <xdr:rowOff>236232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645035" y="925285"/>
          <a:ext cx="998708" cy="2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124788</xdr:colOff>
      <xdr:row>2</xdr:row>
      <xdr:rowOff>250032</xdr:rowOff>
    </xdr:from>
    <xdr:to>
      <xdr:col>11</xdr:col>
      <xdr:colOff>232171</xdr:colOff>
      <xdr:row>2</xdr:row>
      <xdr:rowOff>253603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3762147" y="934641"/>
          <a:ext cx="1863555" cy="35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264035</xdr:colOff>
      <xdr:row>2</xdr:row>
      <xdr:rowOff>234042</xdr:rowOff>
    </xdr:from>
    <xdr:to>
      <xdr:col>1</xdr:col>
      <xdr:colOff>1262743</xdr:colOff>
      <xdr:row>2</xdr:row>
      <xdr:rowOff>236232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645035" y="919842"/>
          <a:ext cx="998708" cy="2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124788</xdr:colOff>
      <xdr:row>2</xdr:row>
      <xdr:rowOff>250032</xdr:rowOff>
    </xdr:from>
    <xdr:to>
      <xdr:col>11</xdr:col>
      <xdr:colOff>232171</xdr:colOff>
      <xdr:row>2</xdr:row>
      <xdr:rowOff>253603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3763338" y="935832"/>
          <a:ext cx="1869508" cy="35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244866</xdr:colOff>
      <xdr:row>2</xdr:row>
      <xdr:rowOff>206829</xdr:rowOff>
    </xdr:from>
    <xdr:to>
      <xdr:col>1</xdr:col>
      <xdr:colOff>1268893</xdr:colOff>
      <xdr:row>3</xdr:row>
      <xdr:rowOff>3846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V="1">
          <a:off x="625866" y="416379"/>
          <a:ext cx="1024027" cy="65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166459</xdr:colOff>
      <xdr:row>2</xdr:row>
      <xdr:rowOff>198783</xdr:rowOff>
    </xdr:from>
    <xdr:to>
      <xdr:col>11</xdr:col>
      <xdr:colOff>149086</xdr:colOff>
      <xdr:row>2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3652609" y="408333"/>
          <a:ext cx="1744752" cy="12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zoomScale="115" zoomScaleNormal="115" workbookViewId="0">
      <selection activeCell="T12" sqref="T12"/>
    </sheetView>
  </sheetViews>
  <sheetFormatPr defaultRowHeight="15" x14ac:dyDescent="0.25"/>
  <cols>
    <col min="1" max="1" width="5.7109375" customWidth="1"/>
    <col min="2" max="2" width="22.5703125" customWidth="1"/>
    <col min="3" max="3" width="10.42578125" customWidth="1"/>
    <col min="4" max="21" width="5.28515625" customWidth="1"/>
  </cols>
  <sheetData>
    <row r="1" spans="1:21" ht="37.5" customHeight="1" x14ac:dyDescent="0.25">
      <c r="A1" s="21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16.5" customHeight="1" x14ac:dyDescent="0.25">
      <c r="A2" s="23" t="s">
        <v>15</v>
      </c>
      <c r="B2" s="23"/>
      <c r="C2" s="23"/>
      <c r="D2" s="24" t="s">
        <v>16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"/>
      <c r="Q2" s="25" t="s">
        <v>21</v>
      </c>
      <c r="R2" s="25"/>
      <c r="S2" s="25"/>
      <c r="T2" s="2"/>
      <c r="U2" s="2"/>
    </row>
    <row r="3" spans="1:21" ht="23.25" customHeight="1" x14ac:dyDescent="0.25">
      <c r="A3" s="23"/>
      <c r="B3" s="23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"/>
      <c r="Q3" s="2"/>
      <c r="R3" s="2"/>
      <c r="S3" s="2"/>
      <c r="T3" s="2"/>
      <c r="U3" s="2"/>
    </row>
    <row r="4" spans="1:21" ht="29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6" t="s">
        <v>38</v>
      </c>
      <c r="K4" s="26"/>
      <c r="L4" s="26"/>
      <c r="M4" s="26"/>
      <c r="N4" s="26"/>
      <c r="O4" s="26"/>
      <c r="P4" s="26"/>
      <c r="Q4" s="26"/>
      <c r="R4" s="4"/>
      <c r="S4" s="4"/>
      <c r="T4" s="4"/>
      <c r="U4" s="4"/>
    </row>
    <row r="5" spans="1:21" s="3" customFormat="1" ht="31.5" customHeight="1" x14ac:dyDescent="0.25">
      <c r="A5" s="27" t="s">
        <v>25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spans="1:21" s="3" customFormat="1" ht="27.75" customHeight="1" x14ac:dyDescent="0.25">
      <c r="A6" s="31" t="s">
        <v>3</v>
      </c>
      <c r="B6" s="31" t="s">
        <v>4</v>
      </c>
      <c r="C6" s="32" t="s">
        <v>5</v>
      </c>
      <c r="D6" s="33" t="s">
        <v>17</v>
      </c>
      <c r="E6" s="33"/>
      <c r="F6" s="33"/>
      <c r="G6" s="34" t="s">
        <v>18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</row>
    <row r="7" spans="1:21" s="3" customFormat="1" ht="30.75" customHeight="1" x14ac:dyDescent="0.25">
      <c r="A7" s="31"/>
      <c r="B7" s="31"/>
      <c r="C7" s="32"/>
      <c r="D7" s="35" t="s">
        <v>6</v>
      </c>
      <c r="E7" s="35" t="s">
        <v>7</v>
      </c>
      <c r="F7" s="35" t="s">
        <v>8</v>
      </c>
      <c r="G7" s="19" t="s">
        <v>19</v>
      </c>
      <c r="H7" s="20"/>
      <c r="I7" s="20"/>
      <c r="J7" s="19" t="s">
        <v>2</v>
      </c>
      <c r="K7" s="20"/>
      <c r="L7" s="20"/>
      <c r="M7" s="19" t="s">
        <v>1</v>
      </c>
      <c r="N7" s="20"/>
      <c r="O7" s="20"/>
      <c r="P7" s="19" t="s">
        <v>0</v>
      </c>
      <c r="Q7" s="20"/>
      <c r="R7" s="20"/>
      <c r="S7" s="19" t="s">
        <v>20</v>
      </c>
      <c r="T7" s="20"/>
      <c r="U7" s="20"/>
    </row>
    <row r="8" spans="1:21" s="3" customFormat="1" x14ac:dyDescent="0.25">
      <c r="A8" s="31"/>
      <c r="B8" s="31"/>
      <c r="C8" s="32"/>
      <c r="D8" s="35"/>
      <c r="E8" s="35"/>
      <c r="F8" s="35"/>
      <c r="G8" s="8" t="s">
        <v>6</v>
      </c>
      <c r="H8" s="8" t="s">
        <v>7</v>
      </c>
      <c r="I8" s="8" t="s">
        <v>8</v>
      </c>
      <c r="J8" s="8" t="s">
        <v>6</v>
      </c>
      <c r="K8" s="8" t="s">
        <v>7</v>
      </c>
      <c r="L8" s="8" t="s">
        <v>8</v>
      </c>
      <c r="M8" s="8" t="s">
        <v>6</v>
      </c>
      <c r="N8" s="8" t="s">
        <v>7</v>
      </c>
      <c r="O8" s="8" t="s">
        <v>8</v>
      </c>
      <c r="P8" s="8" t="s">
        <v>6</v>
      </c>
      <c r="Q8" s="8" t="s">
        <v>7</v>
      </c>
      <c r="R8" s="8" t="s">
        <v>8</v>
      </c>
      <c r="S8" s="8" t="s">
        <v>6</v>
      </c>
      <c r="T8" s="8" t="s">
        <v>7</v>
      </c>
      <c r="U8" s="8" t="s">
        <v>8</v>
      </c>
    </row>
    <row r="9" spans="1:21" s="3" customFormat="1" ht="18" customHeight="1" x14ac:dyDescent="0.25">
      <c r="A9" s="5">
        <v>1</v>
      </c>
      <c r="B9" s="10" t="s">
        <v>9</v>
      </c>
      <c r="C9" s="11">
        <f>D9+E9+F9</f>
        <v>16</v>
      </c>
      <c r="D9" s="11">
        <f>G9+J9+M9+P9+S9</f>
        <v>12</v>
      </c>
      <c r="E9" s="11">
        <f t="shared" ref="E9:F13" si="0">H9+K9+N9+Q9+T9</f>
        <v>1</v>
      </c>
      <c r="F9" s="11">
        <f t="shared" si="0"/>
        <v>3</v>
      </c>
      <c r="G9" s="11">
        <v>1</v>
      </c>
      <c r="H9" s="11">
        <v>0</v>
      </c>
      <c r="I9" s="11">
        <v>0</v>
      </c>
      <c r="J9" s="11">
        <v>7</v>
      </c>
      <c r="K9" s="11">
        <v>1</v>
      </c>
      <c r="L9" s="11">
        <v>3</v>
      </c>
      <c r="M9" s="11">
        <v>2</v>
      </c>
      <c r="N9" s="11">
        <v>0</v>
      </c>
      <c r="O9" s="11">
        <v>0</v>
      </c>
      <c r="P9" s="11">
        <v>2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</row>
    <row r="10" spans="1:21" s="3" customFormat="1" ht="18" customHeight="1" x14ac:dyDescent="0.25">
      <c r="A10" s="6">
        <v>2</v>
      </c>
      <c r="B10" s="12" t="s">
        <v>10</v>
      </c>
      <c r="C10" s="13">
        <f t="shared" ref="C10:C13" si="1">D10+E10+F10</f>
        <v>19</v>
      </c>
      <c r="D10" s="13">
        <f t="shared" ref="D10:D13" si="2">G10+J10+M10+P10+S10</f>
        <v>17</v>
      </c>
      <c r="E10" s="13">
        <f t="shared" si="0"/>
        <v>1</v>
      </c>
      <c r="F10" s="13">
        <f t="shared" si="0"/>
        <v>1</v>
      </c>
      <c r="G10" s="13">
        <v>0</v>
      </c>
      <c r="H10" s="13">
        <v>0</v>
      </c>
      <c r="I10" s="13">
        <v>0</v>
      </c>
      <c r="J10" s="13">
        <v>14</v>
      </c>
      <c r="K10" s="13">
        <v>0</v>
      </c>
      <c r="L10" s="13">
        <v>1</v>
      </c>
      <c r="M10" s="13">
        <v>1</v>
      </c>
      <c r="N10" s="13">
        <v>1</v>
      </c>
      <c r="O10" s="13">
        <v>0</v>
      </c>
      <c r="P10" s="13">
        <v>2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</row>
    <row r="11" spans="1:21" s="3" customFormat="1" ht="18" customHeight="1" x14ac:dyDescent="0.25">
      <c r="A11" s="6">
        <v>3</v>
      </c>
      <c r="B11" s="12" t="s">
        <v>11</v>
      </c>
      <c r="C11" s="13">
        <f t="shared" si="1"/>
        <v>21</v>
      </c>
      <c r="D11" s="13">
        <f t="shared" si="2"/>
        <v>21</v>
      </c>
      <c r="E11" s="13">
        <f t="shared" si="0"/>
        <v>0</v>
      </c>
      <c r="F11" s="13">
        <f t="shared" si="0"/>
        <v>0</v>
      </c>
      <c r="G11" s="13">
        <v>0</v>
      </c>
      <c r="H11" s="13">
        <v>0</v>
      </c>
      <c r="I11" s="13">
        <v>0</v>
      </c>
      <c r="J11" s="13">
        <v>19</v>
      </c>
      <c r="K11" s="13">
        <v>0</v>
      </c>
      <c r="L11" s="13">
        <v>0</v>
      </c>
      <c r="M11" s="13">
        <v>2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</row>
    <row r="12" spans="1:21" s="3" customFormat="1" ht="18" customHeight="1" x14ac:dyDescent="0.25">
      <c r="A12" s="6">
        <v>4</v>
      </c>
      <c r="B12" s="12" t="s">
        <v>12</v>
      </c>
      <c r="C12" s="13">
        <f t="shared" si="1"/>
        <v>0</v>
      </c>
      <c r="D12" s="13">
        <f t="shared" si="2"/>
        <v>0</v>
      </c>
      <c r="E12" s="13">
        <f t="shared" si="0"/>
        <v>0</v>
      </c>
      <c r="F12" s="13">
        <f t="shared" si="0"/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</row>
    <row r="13" spans="1:21" s="3" customFormat="1" ht="18" customHeight="1" x14ac:dyDescent="0.25">
      <c r="A13" s="7">
        <v>5</v>
      </c>
      <c r="B13" s="14" t="s">
        <v>13</v>
      </c>
      <c r="C13" s="15">
        <f t="shared" si="1"/>
        <v>0</v>
      </c>
      <c r="D13" s="15">
        <f t="shared" si="2"/>
        <v>0</v>
      </c>
      <c r="E13" s="15">
        <f t="shared" si="0"/>
        <v>0</v>
      </c>
      <c r="F13" s="15">
        <f t="shared" si="0"/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</row>
    <row r="14" spans="1:21" s="3" customFormat="1" ht="18" customHeight="1" x14ac:dyDescent="0.25">
      <c r="A14" s="31" t="s">
        <v>14</v>
      </c>
      <c r="B14" s="31"/>
      <c r="C14" s="18">
        <f>SUM(C9:C13)</f>
        <v>56</v>
      </c>
      <c r="D14" s="18">
        <f t="shared" ref="D14:U14" si="3">SUM(D9:D13)</f>
        <v>50</v>
      </c>
      <c r="E14" s="18">
        <f t="shared" si="3"/>
        <v>2</v>
      </c>
      <c r="F14" s="18">
        <f t="shared" si="3"/>
        <v>4</v>
      </c>
      <c r="G14" s="18">
        <f t="shared" si="3"/>
        <v>1</v>
      </c>
      <c r="H14" s="18">
        <f t="shared" si="3"/>
        <v>0</v>
      </c>
      <c r="I14" s="18">
        <f t="shared" si="3"/>
        <v>0</v>
      </c>
      <c r="J14" s="18">
        <f t="shared" si="3"/>
        <v>40</v>
      </c>
      <c r="K14" s="18">
        <f t="shared" si="3"/>
        <v>1</v>
      </c>
      <c r="L14" s="18">
        <f t="shared" si="3"/>
        <v>4</v>
      </c>
      <c r="M14" s="18">
        <f t="shared" si="3"/>
        <v>5</v>
      </c>
      <c r="N14" s="18">
        <f t="shared" si="3"/>
        <v>1</v>
      </c>
      <c r="O14" s="18">
        <f t="shared" si="3"/>
        <v>0</v>
      </c>
      <c r="P14" s="18">
        <f t="shared" si="3"/>
        <v>4</v>
      </c>
      <c r="Q14" s="18">
        <f t="shared" si="3"/>
        <v>0</v>
      </c>
      <c r="R14" s="18">
        <f t="shared" si="3"/>
        <v>0</v>
      </c>
      <c r="S14" s="18">
        <f t="shared" si="3"/>
        <v>0</v>
      </c>
      <c r="T14" s="18">
        <f t="shared" si="3"/>
        <v>0</v>
      </c>
      <c r="U14" s="18">
        <f t="shared" si="3"/>
        <v>0</v>
      </c>
    </row>
    <row r="15" spans="1:21" s="1" customFormat="1" ht="15.75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1" customFormat="1" ht="15.75" x14ac:dyDescent="0.25">
      <c r="B16" s="30"/>
      <c r="C16" s="30"/>
      <c r="D16" s="30"/>
      <c r="E16" s="30"/>
      <c r="F16" s="30"/>
      <c r="N16" s="30" t="s">
        <v>22</v>
      </c>
      <c r="O16" s="30"/>
      <c r="P16" s="30"/>
      <c r="Q16" s="30"/>
      <c r="R16" s="30"/>
    </row>
    <row r="17" spans="1:21" s="1" customFormat="1" ht="15.75" x14ac:dyDescent="0.25"/>
    <row r="18" spans="1:21" s="1" customFormat="1" ht="15.75" x14ac:dyDescent="0.25"/>
    <row r="19" spans="1:21" s="1" customFormat="1" ht="15.75" x14ac:dyDescent="0.25"/>
    <row r="20" spans="1:21" s="1" customFormat="1" ht="15.75" x14ac:dyDescent="0.25"/>
    <row r="21" spans="1:21" s="1" customFormat="1" ht="15.75" x14ac:dyDescent="0.25"/>
    <row r="22" spans="1:21" ht="15.75" x14ac:dyDescent="0.25">
      <c r="A22" s="1"/>
      <c r="B22" s="30"/>
      <c r="C22" s="30"/>
      <c r="D22" s="30"/>
      <c r="E22" s="30"/>
      <c r="F22" s="30"/>
      <c r="G22" s="1"/>
      <c r="H22" s="1"/>
      <c r="I22" s="1"/>
      <c r="J22" s="1"/>
      <c r="K22" s="1"/>
      <c r="L22" s="1"/>
      <c r="M22" s="1"/>
      <c r="N22" s="30" t="s">
        <v>23</v>
      </c>
      <c r="O22" s="30"/>
      <c r="P22" s="30"/>
      <c r="Q22" s="30"/>
      <c r="R22" s="30"/>
      <c r="S22" s="1"/>
      <c r="T22" s="1"/>
      <c r="U22" s="1"/>
    </row>
    <row r="26" spans="1:21" x14ac:dyDescent="0.25">
      <c r="F26" t="s">
        <v>30</v>
      </c>
    </row>
  </sheetData>
  <mergeCells count="24">
    <mergeCell ref="B22:F22"/>
    <mergeCell ref="N22:R22"/>
    <mergeCell ref="M7:O7"/>
    <mergeCell ref="P7:R7"/>
    <mergeCell ref="S7:U7"/>
    <mergeCell ref="A14:B14"/>
    <mergeCell ref="B16:F16"/>
    <mergeCell ref="N16:R16"/>
    <mergeCell ref="A6:A8"/>
    <mergeCell ref="B6:B8"/>
    <mergeCell ref="C6:C8"/>
    <mergeCell ref="D6:F6"/>
    <mergeCell ref="G6:U6"/>
    <mergeCell ref="D7:D8"/>
    <mergeCell ref="E7:E8"/>
    <mergeCell ref="F7:F8"/>
    <mergeCell ref="G7:I7"/>
    <mergeCell ref="J7:L7"/>
    <mergeCell ref="A1:U1"/>
    <mergeCell ref="A2:C3"/>
    <mergeCell ref="D2:O3"/>
    <mergeCell ref="Q2:S2"/>
    <mergeCell ref="J4:Q4"/>
    <mergeCell ref="A5:U5"/>
  </mergeCells>
  <pageMargins left="0.51" right="0.36" top="0.56000000000000005" bottom="0.56999999999999995" header="0.3" footer="0.3"/>
  <pageSetup paperSize="9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zoomScale="115" zoomScaleNormal="115" workbookViewId="0">
      <selection activeCell="H21" sqref="H21"/>
    </sheetView>
  </sheetViews>
  <sheetFormatPr defaultRowHeight="15" x14ac:dyDescent="0.25"/>
  <cols>
    <col min="1" max="1" width="5.7109375" customWidth="1"/>
    <col min="2" max="2" width="22.5703125" customWidth="1"/>
    <col min="3" max="3" width="10.42578125" customWidth="1"/>
    <col min="4" max="21" width="5.28515625" customWidth="1"/>
  </cols>
  <sheetData>
    <row r="1" spans="1:21" ht="37.5" customHeight="1" x14ac:dyDescent="0.25">
      <c r="A1" s="21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16.5" customHeight="1" x14ac:dyDescent="0.25">
      <c r="A2" s="23" t="s">
        <v>15</v>
      </c>
      <c r="B2" s="23"/>
      <c r="C2" s="23"/>
      <c r="D2" s="24" t="s">
        <v>16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"/>
      <c r="Q2" s="25" t="s">
        <v>21</v>
      </c>
      <c r="R2" s="25"/>
      <c r="S2" s="25"/>
      <c r="T2" s="2"/>
      <c r="U2" s="2"/>
    </row>
    <row r="3" spans="1:21" ht="23.25" customHeight="1" x14ac:dyDescent="0.25">
      <c r="A3" s="23"/>
      <c r="B3" s="23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"/>
      <c r="Q3" s="2"/>
      <c r="R3" s="2"/>
      <c r="S3" s="2"/>
      <c r="T3" s="2"/>
      <c r="U3" s="2"/>
    </row>
    <row r="4" spans="1:21" ht="29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6" t="s">
        <v>38</v>
      </c>
      <c r="K4" s="26"/>
      <c r="L4" s="26"/>
      <c r="M4" s="26"/>
      <c r="N4" s="26"/>
      <c r="O4" s="26"/>
      <c r="P4" s="26"/>
      <c r="Q4" s="26"/>
      <c r="R4" s="4"/>
      <c r="S4" s="4"/>
      <c r="T4" s="4"/>
      <c r="U4" s="4"/>
    </row>
    <row r="5" spans="1:21" s="3" customFormat="1" ht="31.5" customHeight="1" x14ac:dyDescent="0.25">
      <c r="A5" s="27" t="s">
        <v>25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spans="1:21" s="3" customFormat="1" ht="27.75" customHeight="1" x14ac:dyDescent="0.25">
      <c r="A6" s="31" t="s">
        <v>3</v>
      </c>
      <c r="B6" s="31" t="s">
        <v>4</v>
      </c>
      <c r="C6" s="32" t="s">
        <v>5</v>
      </c>
      <c r="D6" s="33" t="s">
        <v>17</v>
      </c>
      <c r="E6" s="33"/>
      <c r="F6" s="33"/>
      <c r="G6" s="34" t="s">
        <v>18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</row>
    <row r="7" spans="1:21" s="3" customFormat="1" ht="30.75" customHeight="1" x14ac:dyDescent="0.25">
      <c r="A7" s="31"/>
      <c r="B7" s="31"/>
      <c r="C7" s="32"/>
      <c r="D7" s="35" t="s">
        <v>6</v>
      </c>
      <c r="E7" s="35" t="s">
        <v>7</v>
      </c>
      <c r="F7" s="35" t="s">
        <v>8</v>
      </c>
      <c r="G7" s="19" t="s">
        <v>19</v>
      </c>
      <c r="H7" s="20"/>
      <c r="I7" s="20"/>
      <c r="J7" s="19" t="s">
        <v>2</v>
      </c>
      <c r="K7" s="20"/>
      <c r="L7" s="20"/>
      <c r="M7" s="19" t="s">
        <v>1</v>
      </c>
      <c r="N7" s="20"/>
      <c r="O7" s="20"/>
      <c r="P7" s="19" t="s">
        <v>0</v>
      </c>
      <c r="Q7" s="20"/>
      <c r="R7" s="20"/>
      <c r="S7" s="19" t="s">
        <v>20</v>
      </c>
      <c r="T7" s="20"/>
      <c r="U7" s="20"/>
    </row>
    <row r="8" spans="1:21" s="3" customFormat="1" x14ac:dyDescent="0.25">
      <c r="A8" s="31"/>
      <c r="B8" s="31"/>
      <c r="C8" s="32"/>
      <c r="D8" s="35"/>
      <c r="E8" s="35"/>
      <c r="F8" s="35"/>
      <c r="G8" s="8" t="s">
        <v>6</v>
      </c>
      <c r="H8" s="8" t="s">
        <v>7</v>
      </c>
      <c r="I8" s="8" t="s">
        <v>8</v>
      </c>
      <c r="J8" s="8" t="s">
        <v>6</v>
      </c>
      <c r="K8" s="8" t="s">
        <v>7</v>
      </c>
      <c r="L8" s="8" t="s">
        <v>8</v>
      </c>
      <c r="M8" s="8" t="s">
        <v>6</v>
      </c>
      <c r="N8" s="8" t="s">
        <v>7</v>
      </c>
      <c r="O8" s="8" t="s">
        <v>8</v>
      </c>
      <c r="P8" s="8" t="s">
        <v>6</v>
      </c>
      <c r="Q8" s="8" t="s">
        <v>7</v>
      </c>
      <c r="R8" s="8" t="s">
        <v>8</v>
      </c>
      <c r="S8" s="8" t="s">
        <v>6</v>
      </c>
      <c r="T8" s="8" t="s">
        <v>7</v>
      </c>
      <c r="U8" s="8" t="s">
        <v>8</v>
      </c>
    </row>
    <row r="9" spans="1:21" s="3" customFormat="1" ht="18" customHeight="1" x14ac:dyDescent="0.25">
      <c r="A9" s="5">
        <v>1</v>
      </c>
      <c r="B9" s="10" t="s">
        <v>9</v>
      </c>
      <c r="C9" s="11">
        <f>D9+E9+F9</f>
        <v>68</v>
      </c>
      <c r="D9" s="11">
        <f>G9+J9+M9+P9+S9</f>
        <v>68</v>
      </c>
      <c r="E9" s="11">
        <f t="shared" ref="E9:F13" si="0">H9+K9+N9+Q9+T9</f>
        <v>0</v>
      </c>
      <c r="F9" s="11">
        <f t="shared" si="0"/>
        <v>0</v>
      </c>
      <c r="G9" s="11">
        <v>0</v>
      </c>
      <c r="H9" s="11">
        <v>0</v>
      </c>
      <c r="I9" s="11">
        <v>0</v>
      </c>
      <c r="J9" s="11">
        <v>60</v>
      </c>
      <c r="K9" s="11">
        <v>0</v>
      </c>
      <c r="L9" s="11">
        <v>0</v>
      </c>
      <c r="M9" s="11">
        <v>1</v>
      </c>
      <c r="N9" s="11">
        <v>0</v>
      </c>
      <c r="O9" s="11">
        <v>0</v>
      </c>
      <c r="P9" s="11">
        <v>6</v>
      </c>
      <c r="Q9" s="11">
        <v>0</v>
      </c>
      <c r="R9" s="11">
        <v>0</v>
      </c>
      <c r="S9" s="11">
        <v>1</v>
      </c>
      <c r="T9" s="11">
        <v>0</v>
      </c>
      <c r="U9" s="11">
        <v>0</v>
      </c>
    </row>
    <row r="10" spans="1:21" s="3" customFormat="1" ht="18" customHeight="1" x14ac:dyDescent="0.25">
      <c r="A10" s="6">
        <v>2</v>
      </c>
      <c r="B10" s="12" t="s">
        <v>10</v>
      </c>
      <c r="C10" s="13">
        <f t="shared" ref="C10:C13" si="1">D10+E10+F10</f>
        <v>4</v>
      </c>
      <c r="D10" s="13">
        <f t="shared" ref="D10:D13" si="2">G10+J10+M10+P10+S10</f>
        <v>4</v>
      </c>
      <c r="E10" s="13">
        <f t="shared" si="0"/>
        <v>0</v>
      </c>
      <c r="F10" s="13">
        <f t="shared" si="0"/>
        <v>0</v>
      </c>
      <c r="G10" s="13">
        <v>0</v>
      </c>
      <c r="H10" s="13">
        <v>0</v>
      </c>
      <c r="I10" s="13">
        <v>0</v>
      </c>
      <c r="J10" s="13">
        <v>3</v>
      </c>
      <c r="K10" s="13">
        <v>0</v>
      </c>
      <c r="L10" s="13">
        <v>0</v>
      </c>
      <c r="M10" s="13">
        <v>1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</row>
    <row r="11" spans="1:21" s="3" customFormat="1" ht="18" customHeight="1" x14ac:dyDescent="0.25">
      <c r="A11" s="6">
        <v>3</v>
      </c>
      <c r="B11" s="12" t="s">
        <v>11</v>
      </c>
      <c r="C11" s="13">
        <f t="shared" si="1"/>
        <v>0</v>
      </c>
      <c r="D11" s="13">
        <f t="shared" si="2"/>
        <v>0</v>
      </c>
      <c r="E11" s="13">
        <f t="shared" si="0"/>
        <v>0</v>
      </c>
      <c r="F11" s="13">
        <f t="shared" si="0"/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</row>
    <row r="12" spans="1:21" s="3" customFormat="1" ht="18" customHeight="1" x14ac:dyDescent="0.25">
      <c r="A12" s="6">
        <v>4</v>
      </c>
      <c r="B12" s="12" t="s">
        <v>12</v>
      </c>
      <c r="C12" s="13">
        <f t="shared" si="1"/>
        <v>0</v>
      </c>
      <c r="D12" s="13">
        <f t="shared" si="2"/>
        <v>0</v>
      </c>
      <c r="E12" s="13">
        <f t="shared" si="0"/>
        <v>0</v>
      </c>
      <c r="F12" s="13">
        <f t="shared" si="0"/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</row>
    <row r="13" spans="1:21" s="3" customFormat="1" ht="18" customHeight="1" x14ac:dyDescent="0.25">
      <c r="A13" s="7">
        <v>5</v>
      </c>
      <c r="B13" s="14" t="s">
        <v>13</v>
      </c>
      <c r="C13" s="15">
        <f t="shared" si="1"/>
        <v>0</v>
      </c>
      <c r="D13" s="15">
        <f t="shared" si="2"/>
        <v>0</v>
      </c>
      <c r="E13" s="15">
        <f t="shared" si="0"/>
        <v>0</v>
      </c>
      <c r="F13" s="15">
        <f t="shared" si="0"/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</row>
    <row r="14" spans="1:21" s="3" customFormat="1" ht="18" customHeight="1" x14ac:dyDescent="0.25">
      <c r="A14" s="31" t="s">
        <v>14</v>
      </c>
      <c r="B14" s="31"/>
      <c r="C14" s="16">
        <f>SUM(C9:C13)</f>
        <v>72</v>
      </c>
      <c r="D14" s="16">
        <f t="shared" ref="D14:U14" si="3">SUM(D9:D13)</f>
        <v>72</v>
      </c>
      <c r="E14" s="16">
        <f t="shared" si="3"/>
        <v>0</v>
      </c>
      <c r="F14" s="16">
        <f t="shared" si="3"/>
        <v>0</v>
      </c>
      <c r="G14" s="16">
        <f t="shared" si="3"/>
        <v>0</v>
      </c>
      <c r="H14" s="16">
        <f t="shared" si="3"/>
        <v>0</v>
      </c>
      <c r="I14" s="16">
        <f t="shared" si="3"/>
        <v>0</v>
      </c>
      <c r="J14" s="16">
        <f t="shared" si="3"/>
        <v>63</v>
      </c>
      <c r="K14" s="16">
        <f t="shared" si="3"/>
        <v>0</v>
      </c>
      <c r="L14" s="16">
        <f t="shared" si="3"/>
        <v>0</v>
      </c>
      <c r="M14" s="16">
        <f t="shared" si="3"/>
        <v>2</v>
      </c>
      <c r="N14" s="16">
        <f t="shared" si="3"/>
        <v>0</v>
      </c>
      <c r="O14" s="16">
        <f t="shared" si="3"/>
        <v>0</v>
      </c>
      <c r="P14" s="16">
        <f t="shared" si="3"/>
        <v>6</v>
      </c>
      <c r="Q14" s="16">
        <f t="shared" si="3"/>
        <v>0</v>
      </c>
      <c r="R14" s="16">
        <f t="shared" si="3"/>
        <v>0</v>
      </c>
      <c r="S14" s="16">
        <f t="shared" si="3"/>
        <v>1</v>
      </c>
      <c r="T14" s="16">
        <f t="shared" si="3"/>
        <v>0</v>
      </c>
      <c r="U14" s="16">
        <f t="shared" si="3"/>
        <v>0</v>
      </c>
    </row>
    <row r="15" spans="1:21" s="1" customFormat="1" ht="15.75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1" customFormat="1" ht="15.75" x14ac:dyDescent="0.25">
      <c r="B16" s="30"/>
      <c r="C16" s="30"/>
      <c r="D16" s="30"/>
      <c r="E16" s="30"/>
      <c r="F16" s="30"/>
      <c r="N16" s="30" t="s">
        <v>22</v>
      </c>
      <c r="O16" s="30"/>
      <c r="P16" s="30"/>
      <c r="Q16" s="30"/>
      <c r="R16" s="30"/>
    </row>
    <row r="17" spans="1:21" s="1" customFormat="1" ht="15.75" x14ac:dyDescent="0.25"/>
    <row r="18" spans="1:21" s="1" customFormat="1" ht="15.75" x14ac:dyDescent="0.25"/>
    <row r="19" spans="1:21" s="1" customFormat="1" ht="15.75" x14ac:dyDescent="0.25"/>
    <row r="20" spans="1:21" s="1" customFormat="1" ht="15.75" x14ac:dyDescent="0.25"/>
    <row r="21" spans="1:21" s="1" customFormat="1" ht="15.75" x14ac:dyDescent="0.25"/>
    <row r="22" spans="1:21" ht="15.75" x14ac:dyDescent="0.25">
      <c r="A22" s="1"/>
      <c r="B22" s="30"/>
      <c r="C22" s="30"/>
      <c r="D22" s="30"/>
      <c r="E22" s="30"/>
      <c r="F22" s="30"/>
      <c r="G22" s="1"/>
      <c r="H22" s="1"/>
      <c r="I22" s="1"/>
      <c r="J22" s="1"/>
      <c r="K22" s="1"/>
      <c r="L22" s="1"/>
      <c r="M22" s="1"/>
      <c r="N22" s="30" t="s">
        <v>23</v>
      </c>
      <c r="O22" s="30"/>
      <c r="P22" s="30"/>
      <c r="Q22" s="30"/>
      <c r="R22" s="30"/>
      <c r="S22" s="1"/>
      <c r="T22" s="1"/>
      <c r="U22" s="1"/>
    </row>
    <row r="26" spans="1:21" x14ac:dyDescent="0.25">
      <c r="F26" t="s">
        <v>30</v>
      </c>
    </row>
  </sheetData>
  <mergeCells count="24">
    <mergeCell ref="G7:I7"/>
    <mergeCell ref="J7:L7"/>
    <mergeCell ref="A1:U1"/>
    <mergeCell ref="A2:C3"/>
    <mergeCell ref="D2:O3"/>
    <mergeCell ref="Q2:S2"/>
    <mergeCell ref="J4:Q4"/>
    <mergeCell ref="A5:U5"/>
    <mergeCell ref="B22:F22"/>
    <mergeCell ref="N22:R22"/>
    <mergeCell ref="M7:O7"/>
    <mergeCell ref="P7:R7"/>
    <mergeCell ref="S7:U7"/>
    <mergeCell ref="A14:B14"/>
    <mergeCell ref="B16:F16"/>
    <mergeCell ref="N16:R16"/>
    <mergeCell ref="A6:A8"/>
    <mergeCell ref="B6:B8"/>
    <mergeCell ref="C6:C8"/>
    <mergeCell ref="D6:F6"/>
    <mergeCell ref="G6:U6"/>
    <mergeCell ref="D7:D8"/>
    <mergeCell ref="E7:E8"/>
    <mergeCell ref="F7:F8"/>
  </mergeCells>
  <pageMargins left="0.51" right="0.36" top="0.56000000000000005" bottom="0.56999999999999995" header="0.3" footer="0.3"/>
  <pageSetup paperSize="9" orientation="landscape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zoomScale="115" zoomScaleNormal="115" workbookViewId="0">
      <selection activeCell="W15" sqref="W15"/>
    </sheetView>
  </sheetViews>
  <sheetFormatPr defaultRowHeight="15" x14ac:dyDescent="0.25"/>
  <cols>
    <col min="1" max="1" width="5.7109375" customWidth="1"/>
    <col min="2" max="2" width="22.5703125" customWidth="1"/>
    <col min="3" max="3" width="10.42578125" customWidth="1"/>
    <col min="4" max="21" width="5.28515625" customWidth="1"/>
  </cols>
  <sheetData>
    <row r="1" spans="1:21" ht="37.5" customHeight="1" x14ac:dyDescent="0.25">
      <c r="A1" s="21" t="s">
        <v>35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16.5" customHeight="1" x14ac:dyDescent="0.25">
      <c r="A2" s="23" t="s">
        <v>15</v>
      </c>
      <c r="B2" s="23"/>
      <c r="C2" s="23"/>
      <c r="D2" s="24" t="s">
        <v>16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"/>
      <c r="Q2" s="25" t="s">
        <v>21</v>
      </c>
      <c r="R2" s="25"/>
      <c r="S2" s="25"/>
      <c r="T2" s="2"/>
      <c r="U2" s="2"/>
    </row>
    <row r="3" spans="1:21" ht="23.25" customHeight="1" x14ac:dyDescent="0.25">
      <c r="A3" s="23"/>
      <c r="B3" s="23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"/>
      <c r="Q3" s="2"/>
      <c r="R3" s="2"/>
      <c r="S3" s="2"/>
      <c r="T3" s="2"/>
      <c r="U3" s="2"/>
    </row>
    <row r="4" spans="1:21" ht="29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6" t="s">
        <v>36</v>
      </c>
      <c r="K4" s="26"/>
      <c r="L4" s="26"/>
      <c r="M4" s="26"/>
      <c r="N4" s="26"/>
      <c r="O4" s="26"/>
      <c r="P4" s="26"/>
      <c r="Q4" s="26"/>
      <c r="R4" s="4"/>
      <c r="S4" s="4"/>
      <c r="T4" s="4"/>
      <c r="U4" s="4"/>
    </row>
    <row r="5" spans="1:21" s="3" customFormat="1" ht="31.5" customHeight="1" x14ac:dyDescent="0.25">
      <c r="A5" s="27" t="s">
        <v>25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spans="1:21" s="3" customFormat="1" ht="27.75" customHeight="1" x14ac:dyDescent="0.25">
      <c r="A6" s="31" t="s">
        <v>3</v>
      </c>
      <c r="B6" s="31" t="s">
        <v>4</v>
      </c>
      <c r="C6" s="32" t="s">
        <v>5</v>
      </c>
      <c r="D6" s="33" t="s">
        <v>17</v>
      </c>
      <c r="E6" s="33"/>
      <c r="F6" s="33"/>
      <c r="G6" s="34" t="s">
        <v>18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</row>
    <row r="7" spans="1:21" s="3" customFormat="1" ht="30.75" customHeight="1" x14ac:dyDescent="0.25">
      <c r="A7" s="31"/>
      <c r="B7" s="31"/>
      <c r="C7" s="32"/>
      <c r="D7" s="35" t="s">
        <v>6</v>
      </c>
      <c r="E7" s="35" t="s">
        <v>7</v>
      </c>
      <c r="F7" s="35" t="s">
        <v>8</v>
      </c>
      <c r="G7" s="19" t="s">
        <v>19</v>
      </c>
      <c r="H7" s="20"/>
      <c r="I7" s="20"/>
      <c r="J7" s="19" t="s">
        <v>2</v>
      </c>
      <c r="K7" s="20"/>
      <c r="L7" s="20"/>
      <c r="M7" s="19" t="s">
        <v>1</v>
      </c>
      <c r="N7" s="20"/>
      <c r="O7" s="20"/>
      <c r="P7" s="19" t="s">
        <v>0</v>
      </c>
      <c r="Q7" s="20"/>
      <c r="R7" s="20"/>
      <c r="S7" s="19" t="s">
        <v>20</v>
      </c>
      <c r="T7" s="20"/>
      <c r="U7" s="20"/>
    </row>
    <row r="8" spans="1:21" s="3" customFormat="1" x14ac:dyDescent="0.25">
      <c r="A8" s="31"/>
      <c r="B8" s="31"/>
      <c r="C8" s="32"/>
      <c r="D8" s="35"/>
      <c r="E8" s="35"/>
      <c r="F8" s="35"/>
      <c r="G8" s="8" t="s">
        <v>6</v>
      </c>
      <c r="H8" s="8" t="s">
        <v>7</v>
      </c>
      <c r="I8" s="8" t="s">
        <v>8</v>
      </c>
      <c r="J8" s="8" t="s">
        <v>6</v>
      </c>
      <c r="K8" s="8" t="s">
        <v>7</v>
      </c>
      <c r="L8" s="8" t="s">
        <v>8</v>
      </c>
      <c r="M8" s="8" t="s">
        <v>6</v>
      </c>
      <c r="N8" s="8" t="s">
        <v>7</v>
      </c>
      <c r="O8" s="8" t="s">
        <v>8</v>
      </c>
      <c r="P8" s="8" t="s">
        <v>6</v>
      </c>
      <c r="Q8" s="8" t="s">
        <v>7</v>
      </c>
      <c r="R8" s="8" t="s">
        <v>8</v>
      </c>
      <c r="S8" s="8" t="s">
        <v>6</v>
      </c>
      <c r="T8" s="8" t="s">
        <v>7</v>
      </c>
      <c r="U8" s="8" t="s">
        <v>8</v>
      </c>
    </row>
    <row r="9" spans="1:21" s="3" customFormat="1" ht="18" customHeight="1" x14ac:dyDescent="0.25">
      <c r="A9" s="5">
        <v>1</v>
      </c>
      <c r="B9" s="10" t="s">
        <v>9</v>
      </c>
      <c r="C9" s="11">
        <f>D9+E9+F9</f>
        <v>10</v>
      </c>
      <c r="D9" s="11">
        <f>G9+J9+M9+P9+S9</f>
        <v>10</v>
      </c>
      <c r="E9" s="11">
        <f t="shared" ref="E9:F13" si="0">H9+K9+N9+Q9+T9</f>
        <v>0</v>
      </c>
      <c r="F9" s="11">
        <f t="shared" si="0"/>
        <v>0</v>
      </c>
      <c r="G9" s="11">
        <v>0</v>
      </c>
      <c r="H9" s="11">
        <v>0</v>
      </c>
      <c r="I9" s="11">
        <v>0</v>
      </c>
      <c r="J9" s="11">
        <v>7</v>
      </c>
      <c r="K9" s="11">
        <v>0</v>
      </c>
      <c r="L9" s="11">
        <v>0</v>
      </c>
      <c r="M9" s="11">
        <v>3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</row>
    <row r="10" spans="1:21" s="3" customFormat="1" ht="18" customHeight="1" x14ac:dyDescent="0.25">
      <c r="A10" s="6">
        <v>2</v>
      </c>
      <c r="B10" s="12" t="s">
        <v>10</v>
      </c>
      <c r="C10" s="13">
        <f t="shared" ref="C10:C13" si="1">D10+E10+F10</f>
        <v>2</v>
      </c>
      <c r="D10" s="13">
        <f t="shared" ref="D10:D13" si="2">G10+J10+M10+P10+S10</f>
        <v>2</v>
      </c>
      <c r="E10" s="13">
        <f t="shared" si="0"/>
        <v>0</v>
      </c>
      <c r="F10" s="13">
        <f t="shared" si="0"/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2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</row>
    <row r="11" spans="1:21" s="3" customFormat="1" ht="18" customHeight="1" x14ac:dyDescent="0.25">
      <c r="A11" s="6">
        <v>3</v>
      </c>
      <c r="B11" s="12" t="s">
        <v>11</v>
      </c>
      <c r="C11" s="13">
        <f t="shared" si="1"/>
        <v>1</v>
      </c>
      <c r="D11" s="13">
        <f t="shared" si="2"/>
        <v>1</v>
      </c>
      <c r="E11" s="13">
        <f t="shared" si="0"/>
        <v>0</v>
      </c>
      <c r="F11" s="13">
        <f t="shared" si="0"/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1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</row>
    <row r="12" spans="1:21" s="3" customFormat="1" ht="18" customHeight="1" x14ac:dyDescent="0.25">
      <c r="A12" s="6">
        <v>4</v>
      </c>
      <c r="B12" s="12" t="s">
        <v>12</v>
      </c>
      <c r="C12" s="13">
        <f t="shared" si="1"/>
        <v>0</v>
      </c>
      <c r="D12" s="13">
        <f t="shared" si="2"/>
        <v>0</v>
      </c>
      <c r="E12" s="13">
        <f t="shared" si="0"/>
        <v>0</v>
      </c>
      <c r="F12" s="13">
        <f t="shared" si="0"/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</row>
    <row r="13" spans="1:21" s="3" customFormat="1" ht="18" customHeight="1" x14ac:dyDescent="0.25">
      <c r="A13" s="7">
        <v>5</v>
      </c>
      <c r="B13" s="14" t="s">
        <v>13</v>
      </c>
      <c r="C13" s="15">
        <f t="shared" si="1"/>
        <v>0</v>
      </c>
      <c r="D13" s="15">
        <f t="shared" si="2"/>
        <v>0</v>
      </c>
      <c r="E13" s="15">
        <f t="shared" si="0"/>
        <v>0</v>
      </c>
      <c r="F13" s="15">
        <f t="shared" si="0"/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</row>
    <row r="14" spans="1:21" s="3" customFormat="1" ht="18" customHeight="1" x14ac:dyDescent="0.25">
      <c r="A14" s="31" t="s">
        <v>14</v>
      </c>
      <c r="B14" s="31"/>
      <c r="C14" s="16">
        <f>SUM(C9:C13)</f>
        <v>13</v>
      </c>
      <c r="D14" s="16">
        <f t="shared" ref="D14:U14" si="3">SUM(D9:D13)</f>
        <v>13</v>
      </c>
      <c r="E14" s="16">
        <f t="shared" si="3"/>
        <v>0</v>
      </c>
      <c r="F14" s="16">
        <f t="shared" si="3"/>
        <v>0</v>
      </c>
      <c r="G14" s="16">
        <f t="shared" si="3"/>
        <v>0</v>
      </c>
      <c r="H14" s="16">
        <f t="shared" si="3"/>
        <v>0</v>
      </c>
      <c r="I14" s="16">
        <f t="shared" si="3"/>
        <v>0</v>
      </c>
      <c r="J14" s="16">
        <f t="shared" si="3"/>
        <v>7</v>
      </c>
      <c r="K14" s="16">
        <f t="shared" si="3"/>
        <v>0</v>
      </c>
      <c r="L14" s="16">
        <f t="shared" si="3"/>
        <v>0</v>
      </c>
      <c r="M14" s="16">
        <f t="shared" si="3"/>
        <v>3</v>
      </c>
      <c r="N14" s="16">
        <f t="shared" si="3"/>
        <v>0</v>
      </c>
      <c r="O14" s="16">
        <f t="shared" si="3"/>
        <v>0</v>
      </c>
      <c r="P14" s="16">
        <f t="shared" si="3"/>
        <v>3</v>
      </c>
      <c r="Q14" s="16">
        <f t="shared" si="3"/>
        <v>0</v>
      </c>
      <c r="R14" s="16">
        <f t="shared" si="3"/>
        <v>0</v>
      </c>
      <c r="S14" s="16">
        <f t="shared" si="3"/>
        <v>0</v>
      </c>
      <c r="T14" s="16">
        <f t="shared" si="3"/>
        <v>0</v>
      </c>
      <c r="U14" s="16">
        <f t="shared" si="3"/>
        <v>0</v>
      </c>
    </row>
    <row r="15" spans="1:21" s="1" customFormat="1" ht="15.75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1" customFormat="1" ht="15.75" x14ac:dyDescent="0.25">
      <c r="B16" s="30"/>
      <c r="C16" s="30"/>
      <c r="D16" s="30"/>
      <c r="E16" s="30"/>
      <c r="F16" s="30"/>
      <c r="N16" s="30" t="s">
        <v>22</v>
      </c>
      <c r="O16" s="30"/>
      <c r="P16" s="30"/>
      <c r="Q16" s="30"/>
      <c r="R16" s="30"/>
    </row>
    <row r="17" spans="1:21" s="1" customFormat="1" ht="15.75" x14ac:dyDescent="0.25"/>
    <row r="18" spans="1:21" s="1" customFormat="1" ht="15.75" x14ac:dyDescent="0.25"/>
    <row r="19" spans="1:21" s="1" customFormat="1" ht="15.75" x14ac:dyDescent="0.25"/>
    <row r="20" spans="1:21" s="1" customFormat="1" ht="15.75" x14ac:dyDescent="0.25"/>
    <row r="21" spans="1:21" s="1" customFormat="1" ht="15.75" x14ac:dyDescent="0.25"/>
    <row r="22" spans="1:21" ht="15.75" x14ac:dyDescent="0.25">
      <c r="A22" s="1"/>
      <c r="B22" s="30"/>
      <c r="C22" s="30"/>
      <c r="D22" s="30"/>
      <c r="E22" s="30"/>
      <c r="F22" s="30"/>
      <c r="G22" s="1"/>
      <c r="H22" s="1"/>
      <c r="I22" s="1"/>
      <c r="J22" s="1"/>
      <c r="K22" s="1"/>
      <c r="L22" s="1"/>
      <c r="M22" s="1"/>
      <c r="N22" s="30" t="s">
        <v>23</v>
      </c>
      <c r="O22" s="30"/>
      <c r="P22" s="30"/>
      <c r="Q22" s="30"/>
      <c r="R22" s="30"/>
      <c r="S22" s="1"/>
      <c r="T22" s="1"/>
      <c r="U22" s="1"/>
    </row>
    <row r="26" spans="1:21" x14ac:dyDescent="0.25">
      <c r="F26" t="s">
        <v>30</v>
      </c>
    </row>
  </sheetData>
  <mergeCells count="24">
    <mergeCell ref="G7:I7"/>
    <mergeCell ref="J7:L7"/>
    <mergeCell ref="A1:U1"/>
    <mergeCell ref="A2:C3"/>
    <mergeCell ref="D2:O3"/>
    <mergeCell ref="Q2:S2"/>
    <mergeCell ref="J4:Q4"/>
    <mergeCell ref="A5:U5"/>
    <mergeCell ref="B22:F22"/>
    <mergeCell ref="N22:R22"/>
    <mergeCell ref="M7:O7"/>
    <mergeCell ref="P7:R7"/>
    <mergeCell ref="S7:U7"/>
    <mergeCell ref="A14:B14"/>
    <mergeCell ref="B16:F16"/>
    <mergeCell ref="N16:R16"/>
    <mergeCell ref="A6:A8"/>
    <mergeCell ref="B6:B8"/>
    <mergeCell ref="C6:C8"/>
    <mergeCell ref="D6:F6"/>
    <mergeCell ref="G6:U6"/>
    <mergeCell ref="D7:D8"/>
    <mergeCell ref="E7:E8"/>
    <mergeCell ref="F7:F8"/>
  </mergeCells>
  <pageMargins left="0.51" right="0.36" top="0.56000000000000005" bottom="0.5699999999999999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opLeftCell="A4" zoomScale="115" zoomScaleNormal="115" workbookViewId="0">
      <selection activeCell="L20" sqref="L20"/>
    </sheetView>
  </sheetViews>
  <sheetFormatPr defaultRowHeight="15" x14ac:dyDescent="0.25"/>
  <cols>
    <col min="1" max="1" width="5.7109375" customWidth="1"/>
    <col min="2" max="2" width="21.140625" customWidth="1"/>
    <col min="3" max="3" width="10.42578125" customWidth="1"/>
    <col min="4" max="18" width="5.28515625" customWidth="1"/>
    <col min="19" max="19" width="6.28515625" customWidth="1"/>
    <col min="20" max="21" width="5.28515625" customWidth="1"/>
  </cols>
  <sheetData>
    <row r="1" spans="1:21" ht="37.5" customHeight="1" x14ac:dyDescent="0.25">
      <c r="A1" s="21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16.5" customHeight="1" x14ac:dyDescent="0.25">
      <c r="A2" s="23" t="s">
        <v>15</v>
      </c>
      <c r="B2" s="23"/>
      <c r="C2" s="23"/>
      <c r="D2" s="24" t="s">
        <v>16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"/>
      <c r="Q2" s="25" t="s">
        <v>21</v>
      </c>
      <c r="R2" s="25"/>
      <c r="S2" s="25"/>
      <c r="T2" s="2"/>
      <c r="U2" s="2"/>
    </row>
    <row r="3" spans="1:21" ht="23.25" customHeight="1" x14ac:dyDescent="0.25">
      <c r="A3" s="23"/>
      <c r="B3" s="23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"/>
      <c r="Q3" s="2"/>
      <c r="R3" s="2"/>
      <c r="S3" s="2"/>
      <c r="T3" s="2"/>
      <c r="U3" s="2"/>
    </row>
    <row r="4" spans="1:21" ht="22.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6" t="s">
        <v>26</v>
      </c>
      <c r="K4" s="26"/>
      <c r="L4" s="26"/>
      <c r="M4" s="26"/>
      <c r="N4" s="26"/>
      <c r="O4" s="26"/>
      <c r="P4" s="26"/>
      <c r="Q4" s="26"/>
      <c r="R4" s="4"/>
      <c r="S4" s="4"/>
      <c r="T4" s="4"/>
      <c r="U4" s="4"/>
    </row>
    <row r="5" spans="1:21" s="3" customFormat="1" ht="23.25" customHeight="1" x14ac:dyDescent="0.25">
      <c r="A5" s="27" t="s">
        <v>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spans="1:21" s="3" customFormat="1" ht="27.75" customHeight="1" x14ac:dyDescent="0.25">
      <c r="A6" s="31" t="s">
        <v>3</v>
      </c>
      <c r="B6" s="31" t="s">
        <v>4</v>
      </c>
      <c r="C6" s="32" t="s">
        <v>5</v>
      </c>
      <c r="D6" s="33" t="s">
        <v>17</v>
      </c>
      <c r="E6" s="33"/>
      <c r="F6" s="33"/>
      <c r="G6" s="34" t="s">
        <v>18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</row>
    <row r="7" spans="1:21" s="3" customFormat="1" ht="30.75" customHeight="1" x14ac:dyDescent="0.25">
      <c r="A7" s="31"/>
      <c r="B7" s="31"/>
      <c r="C7" s="32"/>
      <c r="D7" s="35" t="s">
        <v>6</v>
      </c>
      <c r="E7" s="35" t="s">
        <v>7</v>
      </c>
      <c r="F7" s="35" t="s">
        <v>8</v>
      </c>
      <c r="G7" s="19" t="s">
        <v>19</v>
      </c>
      <c r="H7" s="20"/>
      <c r="I7" s="20"/>
      <c r="J7" s="19" t="s">
        <v>2</v>
      </c>
      <c r="K7" s="20"/>
      <c r="L7" s="20"/>
      <c r="M7" s="19" t="s">
        <v>1</v>
      </c>
      <c r="N7" s="20"/>
      <c r="O7" s="20"/>
      <c r="P7" s="19" t="s">
        <v>0</v>
      </c>
      <c r="Q7" s="20"/>
      <c r="R7" s="20"/>
      <c r="S7" s="19" t="s">
        <v>20</v>
      </c>
      <c r="T7" s="20"/>
      <c r="U7" s="20"/>
    </row>
    <row r="8" spans="1:21" s="3" customFormat="1" x14ac:dyDescent="0.25">
      <c r="A8" s="31"/>
      <c r="B8" s="31"/>
      <c r="C8" s="32"/>
      <c r="D8" s="35"/>
      <c r="E8" s="35"/>
      <c r="F8" s="35"/>
      <c r="G8" s="8" t="s">
        <v>6</v>
      </c>
      <c r="H8" s="8" t="s">
        <v>7</v>
      </c>
      <c r="I8" s="8" t="s">
        <v>8</v>
      </c>
      <c r="J8" s="8" t="s">
        <v>6</v>
      </c>
      <c r="K8" s="8" t="s">
        <v>7</v>
      </c>
      <c r="L8" s="8" t="s">
        <v>8</v>
      </c>
      <c r="M8" s="8" t="s">
        <v>6</v>
      </c>
      <c r="N8" s="8" t="s">
        <v>7</v>
      </c>
      <c r="O8" s="8" t="s">
        <v>8</v>
      </c>
      <c r="P8" s="8" t="s">
        <v>6</v>
      </c>
      <c r="Q8" s="8" t="s">
        <v>7</v>
      </c>
      <c r="R8" s="8" t="s">
        <v>8</v>
      </c>
      <c r="S8" s="8" t="s">
        <v>6</v>
      </c>
      <c r="T8" s="8" t="s">
        <v>7</v>
      </c>
      <c r="U8" s="8" t="s">
        <v>8</v>
      </c>
    </row>
    <row r="9" spans="1:21" s="3" customFormat="1" ht="18" customHeight="1" x14ac:dyDescent="0.25">
      <c r="A9" s="5">
        <v>1</v>
      </c>
      <c r="B9" s="10" t="s">
        <v>9</v>
      </c>
      <c r="C9" s="11">
        <f>D9+E9+F9</f>
        <v>5</v>
      </c>
      <c r="D9" s="11">
        <f>G9+J9+M9+P9+S9</f>
        <v>5</v>
      </c>
      <c r="E9" s="11">
        <f t="shared" ref="E9:F13" si="0">H9+K9+N9+Q9+T9</f>
        <v>0</v>
      </c>
      <c r="F9" s="11">
        <f t="shared" si="0"/>
        <v>0</v>
      </c>
      <c r="G9" s="11">
        <v>0</v>
      </c>
      <c r="H9" s="11">
        <v>0</v>
      </c>
      <c r="I9" s="11">
        <v>0</v>
      </c>
      <c r="J9" s="11">
        <v>5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</row>
    <row r="10" spans="1:21" s="3" customFormat="1" ht="18" customHeight="1" x14ac:dyDescent="0.25">
      <c r="A10" s="6">
        <v>2</v>
      </c>
      <c r="B10" s="12" t="s">
        <v>10</v>
      </c>
      <c r="C10" s="13">
        <f t="shared" ref="C10:C13" si="1">D10+E10+F10</f>
        <v>0</v>
      </c>
      <c r="D10" s="13">
        <f t="shared" ref="D10:D13" si="2">G10+J10+M10+P10+S10</f>
        <v>0</v>
      </c>
      <c r="E10" s="13">
        <f t="shared" si="0"/>
        <v>0</v>
      </c>
      <c r="F10" s="13">
        <f t="shared" si="0"/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</row>
    <row r="11" spans="1:21" s="3" customFormat="1" ht="18" customHeight="1" x14ac:dyDescent="0.25">
      <c r="A11" s="6">
        <v>3</v>
      </c>
      <c r="B11" s="12" t="s">
        <v>11</v>
      </c>
      <c r="C11" s="13">
        <f t="shared" si="1"/>
        <v>0</v>
      </c>
      <c r="D11" s="13">
        <f t="shared" si="2"/>
        <v>0</v>
      </c>
      <c r="E11" s="13">
        <f t="shared" si="0"/>
        <v>0</v>
      </c>
      <c r="F11" s="13">
        <f t="shared" si="0"/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</row>
    <row r="12" spans="1:21" s="3" customFormat="1" ht="18" customHeight="1" x14ac:dyDescent="0.25">
      <c r="A12" s="6">
        <v>4</v>
      </c>
      <c r="B12" s="12" t="s">
        <v>12</v>
      </c>
      <c r="C12" s="13">
        <f t="shared" si="1"/>
        <v>0</v>
      </c>
      <c r="D12" s="13">
        <f t="shared" si="2"/>
        <v>0</v>
      </c>
      <c r="E12" s="13">
        <f t="shared" si="0"/>
        <v>0</v>
      </c>
      <c r="F12" s="13">
        <f t="shared" si="0"/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</row>
    <row r="13" spans="1:21" s="3" customFormat="1" ht="18" customHeight="1" x14ac:dyDescent="0.25">
      <c r="A13" s="7">
        <v>5</v>
      </c>
      <c r="B13" s="14" t="s">
        <v>13</v>
      </c>
      <c r="C13" s="15">
        <f t="shared" si="1"/>
        <v>0</v>
      </c>
      <c r="D13" s="15">
        <f t="shared" si="2"/>
        <v>0</v>
      </c>
      <c r="E13" s="15">
        <f t="shared" si="0"/>
        <v>0</v>
      </c>
      <c r="F13" s="15">
        <f t="shared" si="0"/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</row>
    <row r="14" spans="1:21" s="3" customFormat="1" ht="18" customHeight="1" x14ac:dyDescent="0.25">
      <c r="A14" s="31" t="s">
        <v>14</v>
      </c>
      <c r="B14" s="31"/>
      <c r="C14" s="16">
        <f>SUM(C9:C13)</f>
        <v>5</v>
      </c>
      <c r="D14" s="16">
        <f t="shared" ref="D14:U14" si="3">SUM(D9:D13)</f>
        <v>5</v>
      </c>
      <c r="E14" s="16">
        <f t="shared" si="3"/>
        <v>0</v>
      </c>
      <c r="F14" s="16">
        <f t="shared" si="3"/>
        <v>0</v>
      </c>
      <c r="G14" s="16">
        <f t="shared" si="3"/>
        <v>0</v>
      </c>
      <c r="H14" s="16">
        <f t="shared" si="3"/>
        <v>0</v>
      </c>
      <c r="I14" s="16">
        <f t="shared" si="3"/>
        <v>0</v>
      </c>
      <c r="J14" s="16">
        <f t="shared" si="3"/>
        <v>5</v>
      </c>
      <c r="K14" s="16">
        <f t="shared" si="3"/>
        <v>0</v>
      </c>
      <c r="L14" s="16">
        <f t="shared" si="3"/>
        <v>0</v>
      </c>
      <c r="M14" s="16">
        <f t="shared" si="3"/>
        <v>0</v>
      </c>
      <c r="N14" s="16">
        <f t="shared" si="3"/>
        <v>0</v>
      </c>
      <c r="O14" s="16">
        <f t="shared" si="3"/>
        <v>0</v>
      </c>
      <c r="P14" s="16">
        <f t="shared" si="3"/>
        <v>0</v>
      </c>
      <c r="Q14" s="16">
        <f t="shared" si="3"/>
        <v>0</v>
      </c>
      <c r="R14" s="16">
        <f t="shared" si="3"/>
        <v>0</v>
      </c>
      <c r="S14" s="16">
        <f t="shared" si="3"/>
        <v>0</v>
      </c>
      <c r="T14" s="16">
        <f t="shared" si="3"/>
        <v>0</v>
      </c>
      <c r="U14" s="16">
        <f t="shared" si="3"/>
        <v>0</v>
      </c>
    </row>
    <row r="15" spans="1:21" s="1" customFormat="1" ht="15.75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1" customFormat="1" ht="15.75" x14ac:dyDescent="0.25">
      <c r="B16" s="30"/>
      <c r="C16" s="30"/>
      <c r="D16" s="30"/>
      <c r="E16" s="30"/>
      <c r="F16" s="30"/>
      <c r="N16" s="30" t="s">
        <v>22</v>
      </c>
      <c r="O16" s="30"/>
      <c r="P16" s="30"/>
      <c r="Q16" s="30"/>
      <c r="R16" s="30"/>
    </row>
    <row r="17" spans="1:21" s="1" customFormat="1" ht="15.75" x14ac:dyDescent="0.25"/>
    <row r="18" spans="1:21" s="1" customFormat="1" ht="15.75" x14ac:dyDescent="0.25"/>
    <row r="19" spans="1:21" s="1" customFormat="1" ht="15.75" x14ac:dyDescent="0.25"/>
    <row r="20" spans="1:21" s="1" customFormat="1" ht="15.75" x14ac:dyDescent="0.25"/>
    <row r="21" spans="1:21" s="1" customFormat="1" ht="15.75" x14ac:dyDescent="0.25"/>
    <row r="22" spans="1:21" ht="15.75" x14ac:dyDescent="0.25">
      <c r="A22" s="1"/>
      <c r="B22" s="30"/>
      <c r="C22" s="30"/>
      <c r="D22" s="30"/>
      <c r="E22" s="30"/>
      <c r="F22" s="30"/>
      <c r="G22" s="1"/>
      <c r="H22" s="1"/>
      <c r="I22" s="1"/>
      <c r="J22" s="1"/>
      <c r="K22" s="1"/>
      <c r="L22" s="1"/>
      <c r="M22" s="1"/>
      <c r="N22" s="30" t="s">
        <v>23</v>
      </c>
      <c r="O22" s="30"/>
      <c r="P22" s="30"/>
      <c r="Q22" s="30"/>
      <c r="R22" s="30"/>
      <c r="S22" s="1"/>
      <c r="T22" s="1"/>
      <c r="U22" s="1"/>
    </row>
  </sheetData>
  <mergeCells count="24">
    <mergeCell ref="B22:F22"/>
    <mergeCell ref="N22:R22"/>
    <mergeCell ref="M7:O7"/>
    <mergeCell ref="P7:R7"/>
    <mergeCell ref="S7:U7"/>
    <mergeCell ref="A14:B14"/>
    <mergeCell ref="B16:F16"/>
    <mergeCell ref="N16:R16"/>
    <mergeCell ref="A6:A8"/>
    <mergeCell ref="B6:B8"/>
    <mergeCell ref="C6:C8"/>
    <mergeCell ref="D6:F6"/>
    <mergeCell ref="G6:U6"/>
    <mergeCell ref="D7:D8"/>
    <mergeCell ref="E7:E8"/>
    <mergeCell ref="F7:F8"/>
    <mergeCell ref="G7:I7"/>
    <mergeCell ref="J7:L7"/>
    <mergeCell ref="A1:U1"/>
    <mergeCell ref="A2:C3"/>
    <mergeCell ref="D2:O3"/>
    <mergeCell ref="Q2:S2"/>
    <mergeCell ref="J4:Q4"/>
    <mergeCell ref="A5:U5"/>
  </mergeCells>
  <pageMargins left="0.49" right="0.31" top="0.56000000000000005" bottom="0.56999999999999995" header="0.3" footer="0.3"/>
  <pageSetup paperSize="9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zoomScale="115" zoomScaleNormal="115" workbookViewId="0">
      <selection activeCell="V10" sqref="V10"/>
    </sheetView>
  </sheetViews>
  <sheetFormatPr defaultRowHeight="15" x14ac:dyDescent="0.25"/>
  <cols>
    <col min="1" max="1" width="5.7109375" customWidth="1"/>
    <col min="2" max="2" width="22.5703125" customWidth="1"/>
    <col min="3" max="3" width="10.42578125" customWidth="1"/>
    <col min="4" max="21" width="5.28515625" customWidth="1"/>
  </cols>
  <sheetData>
    <row r="1" spans="1:21" ht="37.5" customHeight="1" x14ac:dyDescent="0.25">
      <c r="A1" s="21" t="s">
        <v>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16.5" customHeight="1" x14ac:dyDescent="0.25">
      <c r="A2" s="23" t="s">
        <v>15</v>
      </c>
      <c r="B2" s="23"/>
      <c r="C2" s="23"/>
      <c r="D2" s="24" t="s">
        <v>16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"/>
      <c r="Q2" s="25" t="s">
        <v>21</v>
      </c>
      <c r="R2" s="25"/>
      <c r="S2" s="25"/>
      <c r="T2" s="2"/>
      <c r="U2" s="2"/>
    </row>
    <row r="3" spans="1:21" ht="23.25" customHeight="1" x14ac:dyDescent="0.25">
      <c r="A3" s="23"/>
      <c r="B3" s="23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"/>
      <c r="Q3" s="2"/>
      <c r="R3" s="2"/>
      <c r="S3" s="2"/>
      <c r="T3" s="2"/>
      <c r="U3" s="2"/>
    </row>
    <row r="4" spans="1:21" ht="29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6" t="s">
        <v>28</v>
      </c>
      <c r="K4" s="26"/>
      <c r="L4" s="26"/>
      <c r="M4" s="26"/>
      <c r="N4" s="26"/>
      <c r="O4" s="26"/>
      <c r="P4" s="26"/>
      <c r="Q4" s="26"/>
      <c r="R4" s="4"/>
      <c r="S4" s="4"/>
      <c r="T4" s="4"/>
      <c r="U4" s="4"/>
    </row>
    <row r="5" spans="1:21" s="3" customFormat="1" ht="31.5" customHeight="1" x14ac:dyDescent="0.25">
      <c r="A5" s="27" t="s">
        <v>29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spans="1:21" s="3" customFormat="1" ht="27.75" customHeight="1" x14ac:dyDescent="0.25">
      <c r="A6" s="31" t="s">
        <v>3</v>
      </c>
      <c r="B6" s="31" t="s">
        <v>4</v>
      </c>
      <c r="C6" s="32" t="s">
        <v>5</v>
      </c>
      <c r="D6" s="33" t="s">
        <v>17</v>
      </c>
      <c r="E6" s="33"/>
      <c r="F6" s="33"/>
      <c r="G6" s="34" t="s">
        <v>18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</row>
    <row r="7" spans="1:21" s="3" customFormat="1" ht="30.75" customHeight="1" x14ac:dyDescent="0.25">
      <c r="A7" s="31"/>
      <c r="B7" s="31"/>
      <c r="C7" s="32"/>
      <c r="D7" s="35" t="s">
        <v>6</v>
      </c>
      <c r="E7" s="35" t="s">
        <v>7</v>
      </c>
      <c r="F7" s="35" t="s">
        <v>8</v>
      </c>
      <c r="G7" s="19" t="s">
        <v>19</v>
      </c>
      <c r="H7" s="20"/>
      <c r="I7" s="20"/>
      <c r="J7" s="19" t="s">
        <v>2</v>
      </c>
      <c r="K7" s="20"/>
      <c r="L7" s="20"/>
      <c r="M7" s="19" t="s">
        <v>1</v>
      </c>
      <c r="N7" s="20"/>
      <c r="O7" s="20"/>
      <c r="P7" s="19" t="s">
        <v>0</v>
      </c>
      <c r="Q7" s="20"/>
      <c r="R7" s="20"/>
      <c r="S7" s="19" t="s">
        <v>20</v>
      </c>
      <c r="T7" s="20"/>
      <c r="U7" s="20"/>
    </row>
    <row r="8" spans="1:21" s="3" customFormat="1" x14ac:dyDescent="0.25">
      <c r="A8" s="31"/>
      <c r="B8" s="31"/>
      <c r="C8" s="32"/>
      <c r="D8" s="35"/>
      <c r="E8" s="35"/>
      <c r="F8" s="35"/>
      <c r="G8" s="8" t="s">
        <v>6</v>
      </c>
      <c r="H8" s="8" t="s">
        <v>7</v>
      </c>
      <c r="I8" s="8" t="s">
        <v>8</v>
      </c>
      <c r="J8" s="8" t="s">
        <v>6</v>
      </c>
      <c r="K8" s="8" t="s">
        <v>7</v>
      </c>
      <c r="L8" s="8" t="s">
        <v>8</v>
      </c>
      <c r="M8" s="8" t="s">
        <v>6</v>
      </c>
      <c r="N8" s="8" t="s">
        <v>7</v>
      </c>
      <c r="O8" s="8" t="s">
        <v>8</v>
      </c>
      <c r="P8" s="8" t="s">
        <v>6</v>
      </c>
      <c r="Q8" s="8" t="s">
        <v>7</v>
      </c>
      <c r="R8" s="8" t="s">
        <v>8</v>
      </c>
      <c r="S8" s="8" t="s">
        <v>6</v>
      </c>
      <c r="T8" s="8" t="s">
        <v>7</v>
      </c>
      <c r="U8" s="8" t="s">
        <v>8</v>
      </c>
    </row>
    <row r="9" spans="1:21" s="3" customFormat="1" ht="18" customHeight="1" x14ac:dyDescent="0.25">
      <c r="A9" s="5">
        <v>1</v>
      </c>
      <c r="B9" s="10" t="s">
        <v>9</v>
      </c>
      <c r="C9" s="11">
        <f>D9+E9+F9</f>
        <v>10</v>
      </c>
      <c r="D9" s="11">
        <f>G9+J9+M9+P9+S9</f>
        <v>10</v>
      </c>
      <c r="E9" s="11">
        <f t="shared" ref="E9:F13" si="0">H9+K9+N9+Q9+T9</f>
        <v>0</v>
      </c>
      <c r="F9" s="11">
        <f t="shared" si="0"/>
        <v>0</v>
      </c>
      <c r="G9" s="11">
        <v>0</v>
      </c>
      <c r="H9" s="11">
        <v>0</v>
      </c>
      <c r="I9" s="11">
        <v>0</v>
      </c>
      <c r="J9" s="11">
        <v>7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2</v>
      </c>
      <c r="Q9" s="11">
        <v>0</v>
      </c>
      <c r="R9" s="11">
        <v>0</v>
      </c>
      <c r="S9" s="11">
        <v>1</v>
      </c>
      <c r="T9" s="11">
        <v>0</v>
      </c>
      <c r="U9" s="11">
        <v>0</v>
      </c>
    </row>
    <row r="10" spans="1:21" s="3" customFormat="1" ht="18" customHeight="1" x14ac:dyDescent="0.25">
      <c r="A10" s="6">
        <v>2</v>
      </c>
      <c r="B10" s="12" t="s">
        <v>10</v>
      </c>
      <c r="C10" s="13">
        <f t="shared" ref="C10:C13" si="1">D10+E10+F10</f>
        <v>16</v>
      </c>
      <c r="D10" s="13">
        <f t="shared" ref="D10:D13" si="2">G10+J10+M10+P10+S10</f>
        <v>16</v>
      </c>
      <c r="E10" s="13">
        <f t="shared" si="0"/>
        <v>0</v>
      </c>
      <c r="F10" s="13">
        <f t="shared" si="0"/>
        <v>0</v>
      </c>
      <c r="G10" s="13">
        <v>0</v>
      </c>
      <c r="H10" s="13">
        <v>0</v>
      </c>
      <c r="I10" s="13">
        <v>0</v>
      </c>
      <c r="J10" s="13">
        <v>13</v>
      </c>
      <c r="K10" s="13">
        <v>0</v>
      </c>
      <c r="L10" s="13">
        <v>0</v>
      </c>
      <c r="M10" s="13">
        <v>2</v>
      </c>
      <c r="N10" s="13">
        <v>0</v>
      </c>
      <c r="O10" s="13">
        <v>0</v>
      </c>
      <c r="P10" s="13">
        <v>1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</row>
    <row r="11" spans="1:21" s="3" customFormat="1" ht="18" customHeight="1" x14ac:dyDescent="0.25">
      <c r="A11" s="6">
        <v>3</v>
      </c>
      <c r="B11" s="12" t="s">
        <v>11</v>
      </c>
      <c r="C11" s="13">
        <f t="shared" si="1"/>
        <v>0</v>
      </c>
      <c r="D11" s="13">
        <f t="shared" si="2"/>
        <v>0</v>
      </c>
      <c r="E11" s="13">
        <f t="shared" si="0"/>
        <v>0</v>
      </c>
      <c r="F11" s="13">
        <f t="shared" si="0"/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</row>
    <row r="12" spans="1:21" s="3" customFormat="1" ht="18" customHeight="1" x14ac:dyDescent="0.25">
      <c r="A12" s="6">
        <v>4</v>
      </c>
      <c r="B12" s="12" t="s">
        <v>12</v>
      </c>
      <c r="C12" s="13">
        <f t="shared" si="1"/>
        <v>0</v>
      </c>
      <c r="D12" s="13">
        <f t="shared" si="2"/>
        <v>0</v>
      </c>
      <c r="E12" s="13">
        <f t="shared" si="0"/>
        <v>0</v>
      </c>
      <c r="F12" s="13">
        <f t="shared" si="0"/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</row>
    <row r="13" spans="1:21" s="3" customFormat="1" ht="18" customHeight="1" x14ac:dyDescent="0.25">
      <c r="A13" s="7">
        <v>5</v>
      </c>
      <c r="B13" s="14" t="s">
        <v>13</v>
      </c>
      <c r="C13" s="15">
        <f t="shared" si="1"/>
        <v>0</v>
      </c>
      <c r="D13" s="15">
        <f t="shared" si="2"/>
        <v>0</v>
      </c>
      <c r="E13" s="15">
        <f t="shared" si="0"/>
        <v>0</v>
      </c>
      <c r="F13" s="15">
        <f t="shared" si="0"/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</row>
    <row r="14" spans="1:21" s="3" customFormat="1" ht="18" customHeight="1" x14ac:dyDescent="0.25">
      <c r="A14" s="31" t="s">
        <v>14</v>
      </c>
      <c r="B14" s="31"/>
      <c r="C14" s="16">
        <f>SUM(C9:C13)</f>
        <v>26</v>
      </c>
      <c r="D14" s="16">
        <f t="shared" ref="D14:U14" si="3">SUM(D9:D13)</f>
        <v>26</v>
      </c>
      <c r="E14" s="16">
        <f t="shared" si="3"/>
        <v>0</v>
      </c>
      <c r="F14" s="16">
        <f t="shared" si="3"/>
        <v>0</v>
      </c>
      <c r="G14" s="16">
        <f t="shared" si="3"/>
        <v>0</v>
      </c>
      <c r="H14" s="16">
        <f t="shared" si="3"/>
        <v>0</v>
      </c>
      <c r="I14" s="16">
        <f t="shared" si="3"/>
        <v>0</v>
      </c>
      <c r="J14" s="16">
        <f t="shared" si="3"/>
        <v>20</v>
      </c>
      <c r="K14" s="16">
        <f t="shared" si="3"/>
        <v>0</v>
      </c>
      <c r="L14" s="16">
        <f t="shared" si="3"/>
        <v>0</v>
      </c>
      <c r="M14" s="16">
        <f t="shared" si="3"/>
        <v>2</v>
      </c>
      <c r="N14" s="16">
        <f t="shared" si="3"/>
        <v>0</v>
      </c>
      <c r="O14" s="16">
        <f t="shared" si="3"/>
        <v>0</v>
      </c>
      <c r="P14" s="16">
        <f t="shared" si="3"/>
        <v>3</v>
      </c>
      <c r="Q14" s="16">
        <f t="shared" si="3"/>
        <v>0</v>
      </c>
      <c r="R14" s="16">
        <f t="shared" si="3"/>
        <v>0</v>
      </c>
      <c r="S14" s="16">
        <f t="shared" si="3"/>
        <v>1</v>
      </c>
      <c r="T14" s="16">
        <f t="shared" si="3"/>
        <v>0</v>
      </c>
      <c r="U14" s="16">
        <f t="shared" si="3"/>
        <v>0</v>
      </c>
    </row>
    <row r="15" spans="1:21" s="1" customFormat="1" ht="15.75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1" customFormat="1" ht="15.75" x14ac:dyDescent="0.25">
      <c r="B16" s="17"/>
      <c r="C16" s="17"/>
      <c r="D16" s="17"/>
      <c r="E16" s="17"/>
      <c r="F16" s="17"/>
      <c r="N16" s="30" t="s">
        <v>22</v>
      </c>
      <c r="O16" s="30"/>
      <c r="P16" s="30"/>
      <c r="Q16" s="30"/>
      <c r="R16" s="30"/>
    </row>
    <row r="17" spans="1:21" s="1" customFormat="1" ht="15.75" x14ac:dyDescent="0.25"/>
    <row r="18" spans="1:21" s="1" customFormat="1" ht="15.75" x14ac:dyDescent="0.25"/>
    <row r="19" spans="1:21" s="1" customFormat="1" ht="15.75" x14ac:dyDescent="0.25"/>
    <row r="20" spans="1:21" s="1" customFormat="1" ht="15.75" x14ac:dyDescent="0.25"/>
    <row r="21" spans="1:21" s="1" customFormat="1" ht="15.75" x14ac:dyDescent="0.25"/>
    <row r="22" spans="1:21" ht="15.75" x14ac:dyDescent="0.25">
      <c r="A22" s="1"/>
      <c r="B22" s="17"/>
      <c r="C22" s="17"/>
      <c r="D22" s="17"/>
      <c r="E22" s="17"/>
      <c r="F22" s="17"/>
      <c r="G22" s="1"/>
      <c r="H22" s="1"/>
      <c r="I22" s="1"/>
      <c r="J22" s="1"/>
      <c r="K22" s="1"/>
      <c r="L22" s="1"/>
      <c r="M22" s="1"/>
      <c r="N22" s="30" t="s">
        <v>23</v>
      </c>
      <c r="O22" s="30"/>
      <c r="P22" s="30"/>
      <c r="Q22" s="30"/>
      <c r="R22" s="30"/>
      <c r="S22" s="1"/>
      <c r="T22" s="1"/>
      <c r="U22" s="1"/>
    </row>
  </sheetData>
  <mergeCells count="22">
    <mergeCell ref="A1:U1"/>
    <mergeCell ref="A14:B14"/>
    <mergeCell ref="A2:C3"/>
    <mergeCell ref="D2:O3"/>
    <mergeCell ref="Q2:S2"/>
    <mergeCell ref="J4:Q4"/>
    <mergeCell ref="A5:U5"/>
    <mergeCell ref="N16:R16"/>
    <mergeCell ref="A6:A8"/>
    <mergeCell ref="N22:R22"/>
    <mergeCell ref="D7:D8"/>
    <mergeCell ref="E7:E8"/>
    <mergeCell ref="F7:F8"/>
    <mergeCell ref="G7:I7"/>
    <mergeCell ref="J7:L7"/>
    <mergeCell ref="M7:O7"/>
    <mergeCell ref="B6:B8"/>
    <mergeCell ref="C6:C8"/>
    <mergeCell ref="D6:F6"/>
    <mergeCell ref="G6:U6"/>
    <mergeCell ref="P7:R7"/>
    <mergeCell ref="S7:U7"/>
  </mergeCells>
  <pageMargins left="0.51" right="0.36" top="0.56000000000000005" bottom="0.56999999999999995" header="0.3" footer="0.3"/>
  <pageSetup paperSize="9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zoomScale="115" zoomScaleNormal="115" workbookViewId="0">
      <selection activeCell="Y4" sqref="Y4"/>
    </sheetView>
  </sheetViews>
  <sheetFormatPr defaultRowHeight="15" x14ac:dyDescent="0.25"/>
  <cols>
    <col min="1" max="1" width="5.7109375" customWidth="1"/>
    <col min="2" max="2" width="22.5703125" customWidth="1"/>
    <col min="3" max="3" width="10.42578125" customWidth="1"/>
    <col min="4" max="21" width="5.28515625" customWidth="1"/>
  </cols>
  <sheetData>
    <row r="1" spans="1:21" ht="37.5" customHeight="1" x14ac:dyDescent="0.25">
      <c r="A1" s="21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16.5" customHeight="1" x14ac:dyDescent="0.25">
      <c r="A2" s="23" t="s">
        <v>15</v>
      </c>
      <c r="B2" s="23"/>
      <c r="C2" s="23"/>
      <c r="D2" s="24" t="s">
        <v>16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"/>
      <c r="Q2" s="25" t="s">
        <v>21</v>
      </c>
      <c r="R2" s="25"/>
      <c r="S2" s="25"/>
      <c r="T2" s="2"/>
      <c r="U2" s="2"/>
    </row>
    <row r="3" spans="1:21" ht="23.25" customHeight="1" x14ac:dyDescent="0.25">
      <c r="A3" s="23"/>
      <c r="B3" s="23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"/>
      <c r="Q3" s="2"/>
      <c r="R3" s="2"/>
      <c r="S3" s="2"/>
      <c r="T3" s="2"/>
      <c r="U3" s="2"/>
    </row>
    <row r="4" spans="1:21" ht="29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6" t="s">
        <v>38</v>
      </c>
      <c r="K4" s="26"/>
      <c r="L4" s="26"/>
      <c r="M4" s="26"/>
      <c r="N4" s="26"/>
      <c r="O4" s="26"/>
      <c r="P4" s="26"/>
      <c r="Q4" s="26"/>
      <c r="R4" s="4"/>
      <c r="S4" s="4"/>
      <c r="T4" s="4"/>
      <c r="U4" s="4"/>
    </row>
    <row r="5" spans="1:21" s="3" customFormat="1" ht="31.5" customHeight="1" x14ac:dyDescent="0.25">
      <c r="A5" s="27" t="s">
        <v>29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spans="1:21" s="3" customFormat="1" ht="27.75" customHeight="1" x14ac:dyDescent="0.25">
      <c r="A6" s="31" t="s">
        <v>3</v>
      </c>
      <c r="B6" s="31" t="s">
        <v>4</v>
      </c>
      <c r="C6" s="32" t="s">
        <v>5</v>
      </c>
      <c r="D6" s="33" t="s">
        <v>17</v>
      </c>
      <c r="E6" s="33"/>
      <c r="F6" s="33"/>
      <c r="G6" s="34" t="s">
        <v>18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</row>
    <row r="7" spans="1:21" s="3" customFormat="1" ht="30.75" customHeight="1" x14ac:dyDescent="0.25">
      <c r="A7" s="31"/>
      <c r="B7" s="31"/>
      <c r="C7" s="32"/>
      <c r="D7" s="35" t="s">
        <v>6</v>
      </c>
      <c r="E7" s="35" t="s">
        <v>7</v>
      </c>
      <c r="F7" s="35" t="s">
        <v>8</v>
      </c>
      <c r="G7" s="19" t="s">
        <v>19</v>
      </c>
      <c r="H7" s="20"/>
      <c r="I7" s="20"/>
      <c r="J7" s="19" t="s">
        <v>2</v>
      </c>
      <c r="K7" s="20"/>
      <c r="L7" s="20"/>
      <c r="M7" s="19" t="s">
        <v>1</v>
      </c>
      <c r="N7" s="20"/>
      <c r="O7" s="20"/>
      <c r="P7" s="19" t="s">
        <v>0</v>
      </c>
      <c r="Q7" s="20"/>
      <c r="R7" s="20"/>
      <c r="S7" s="19" t="s">
        <v>20</v>
      </c>
      <c r="T7" s="20"/>
      <c r="U7" s="20"/>
    </row>
    <row r="8" spans="1:21" s="3" customFormat="1" x14ac:dyDescent="0.25">
      <c r="A8" s="31"/>
      <c r="B8" s="31"/>
      <c r="C8" s="32"/>
      <c r="D8" s="35"/>
      <c r="E8" s="35"/>
      <c r="F8" s="35"/>
      <c r="G8" s="8" t="s">
        <v>6</v>
      </c>
      <c r="H8" s="8" t="s">
        <v>7</v>
      </c>
      <c r="I8" s="8" t="s">
        <v>8</v>
      </c>
      <c r="J8" s="8" t="s">
        <v>6</v>
      </c>
      <c r="K8" s="8" t="s">
        <v>7</v>
      </c>
      <c r="L8" s="8" t="s">
        <v>8</v>
      </c>
      <c r="M8" s="8" t="s">
        <v>6</v>
      </c>
      <c r="N8" s="8" t="s">
        <v>7</v>
      </c>
      <c r="O8" s="8" t="s">
        <v>8</v>
      </c>
      <c r="P8" s="8" t="s">
        <v>6</v>
      </c>
      <c r="Q8" s="8" t="s">
        <v>7</v>
      </c>
      <c r="R8" s="8" t="s">
        <v>8</v>
      </c>
      <c r="S8" s="8" t="s">
        <v>6</v>
      </c>
      <c r="T8" s="8" t="s">
        <v>7</v>
      </c>
      <c r="U8" s="8" t="s">
        <v>8</v>
      </c>
    </row>
    <row r="9" spans="1:21" s="3" customFormat="1" ht="18" customHeight="1" x14ac:dyDescent="0.25">
      <c r="A9" s="5">
        <v>1</v>
      </c>
      <c r="B9" s="10" t="s">
        <v>9</v>
      </c>
      <c r="C9" s="11">
        <f>D9+E9+F9</f>
        <v>44</v>
      </c>
      <c r="D9" s="11">
        <f>G9+J9+M9+P9+S9</f>
        <v>44</v>
      </c>
      <c r="E9" s="11">
        <f t="shared" ref="E9:F13" si="0">H9+K9+N9+Q9+T9</f>
        <v>0</v>
      </c>
      <c r="F9" s="11">
        <f t="shared" si="0"/>
        <v>0</v>
      </c>
      <c r="G9" s="11">
        <v>0</v>
      </c>
      <c r="H9" s="11">
        <v>0</v>
      </c>
      <c r="I9" s="11">
        <v>0</v>
      </c>
      <c r="J9" s="11">
        <v>33</v>
      </c>
      <c r="K9" s="11">
        <v>0</v>
      </c>
      <c r="L9" s="11">
        <v>0</v>
      </c>
      <c r="M9" s="11">
        <v>2</v>
      </c>
      <c r="N9" s="11">
        <v>0</v>
      </c>
      <c r="O9" s="11">
        <v>0</v>
      </c>
      <c r="P9" s="11">
        <v>5</v>
      </c>
      <c r="Q9" s="11">
        <v>0</v>
      </c>
      <c r="R9" s="11">
        <v>0</v>
      </c>
      <c r="S9" s="11">
        <v>4</v>
      </c>
      <c r="T9" s="11">
        <v>0</v>
      </c>
      <c r="U9" s="11">
        <v>0</v>
      </c>
    </row>
    <row r="10" spans="1:21" s="3" customFormat="1" ht="18" customHeight="1" x14ac:dyDescent="0.25">
      <c r="A10" s="6">
        <v>2</v>
      </c>
      <c r="B10" s="12" t="s">
        <v>10</v>
      </c>
      <c r="C10" s="13">
        <f t="shared" ref="C10:C13" si="1">D10+E10+F10</f>
        <v>21</v>
      </c>
      <c r="D10" s="13">
        <f t="shared" ref="D10:D13" si="2">G10+J10+M10+P10+S10</f>
        <v>21</v>
      </c>
      <c r="E10" s="13">
        <f t="shared" si="0"/>
        <v>0</v>
      </c>
      <c r="F10" s="13">
        <f t="shared" si="0"/>
        <v>0</v>
      </c>
      <c r="G10" s="13">
        <v>0</v>
      </c>
      <c r="H10" s="13">
        <v>0</v>
      </c>
      <c r="I10" s="13">
        <v>0</v>
      </c>
      <c r="J10" s="13">
        <v>13</v>
      </c>
      <c r="K10" s="13">
        <v>0</v>
      </c>
      <c r="L10" s="13">
        <v>0</v>
      </c>
      <c r="M10" s="13">
        <v>1</v>
      </c>
      <c r="N10" s="13">
        <v>0</v>
      </c>
      <c r="O10" s="13">
        <v>0</v>
      </c>
      <c r="P10" s="13">
        <v>1</v>
      </c>
      <c r="Q10" s="13">
        <v>0</v>
      </c>
      <c r="R10" s="13">
        <v>0</v>
      </c>
      <c r="S10" s="13">
        <v>6</v>
      </c>
      <c r="T10" s="13">
        <v>0</v>
      </c>
      <c r="U10" s="13">
        <v>0</v>
      </c>
    </row>
    <row r="11" spans="1:21" s="3" customFormat="1" ht="18" customHeight="1" x14ac:dyDescent="0.25">
      <c r="A11" s="6">
        <v>3</v>
      </c>
      <c r="B11" s="12" t="s">
        <v>11</v>
      </c>
      <c r="C11" s="13">
        <f t="shared" si="1"/>
        <v>2</v>
      </c>
      <c r="D11" s="13">
        <f t="shared" si="2"/>
        <v>2</v>
      </c>
      <c r="E11" s="13">
        <f t="shared" si="0"/>
        <v>0</v>
      </c>
      <c r="F11" s="13">
        <f t="shared" si="0"/>
        <v>0</v>
      </c>
      <c r="G11" s="13">
        <v>0</v>
      </c>
      <c r="H11" s="13">
        <v>0</v>
      </c>
      <c r="I11" s="13">
        <v>0</v>
      </c>
      <c r="J11" s="13">
        <v>2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</row>
    <row r="12" spans="1:21" s="3" customFormat="1" ht="18" customHeight="1" x14ac:dyDescent="0.25">
      <c r="A12" s="6">
        <v>4</v>
      </c>
      <c r="B12" s="12" t="s">
        <v>12</v>
      </c>
      <c r="C12" s="13">
        <f t="shared" si="1"/>
        <v>0</v>
      </c>
      <c r="D12" s="13">
        <f t="shared" si="2"/>
        <v>0</v>
      </c>
      <c r="E12" s="13">
        <f t="shared" si="0"/>
        <v>0</v>
      </c>
      <c r="F12" s="13">
        <f t="shared" si="0"/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</row>
    <row r="13" spans="1:21" s="3" customFormat="1" ht="18" customHeight="1" x14ac:dyDescent="0.25">
      <c r="A13" s="7">
        <v>5</v>
      </c>
      <c r="B13" s="14" t="s">
        <v>13</v>
      </c>
      <c r="C13" s="15">
        <f t="shared" si="1"/>
        <v>0</v>
      </c>
      <c r="D13" s="15">
        <f t="shared" si="2"/>
        <v>0</v>
      </c>
      <c r="E13" s="15">
        <f t="shared" si="0"/>
        <v>0</v>
      </c>
      <c r="F13" s="15">
        <f t="shared" si="0"/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</row>
    <row r="14" spans="1:21" s="3" customFormat="1" ht="18" customHeight="1" x14ac:dyDescent="0.25">
      <c r="A14" s="31" t="s">
        <v>14</v>
      </c>
      <c r="B14" s="31"/>
      <c r="C14" s="16">
        <f>SUM(C9:C13)</f>
        <v>67</v>
      </c>
      <c r="D14" s="16">
        <f t="shared" ref="D14:U14" si="3">SUM(D9:D13)</f>
        <v>67</v>
      </c>
      <c r="E14" s="16">
        <f t="shared" si="3"/>
        <v>0</v>
      </c>
      <c r="F14" s="16">
        <f t="shared" si="3"/>
        <v>0</v>
      </c>
      <c r="G14" s="16">
        <f t="shared" si="3"/>
        <v>0</v>
      </c>
      <c r="H14" s="16">
        <f t="shared" si="3"/>
        <v>0</v>
      </c>
      <c r="I14" s="16">
        <f t="shared" si="3"/>
        <v>0</v>
      </c>
      <c r="J14" s="16">
        <f t="shared" si="3"/>
        <v>48</v>
      </c>
      <c r="K14" s="16">
        <f t="shared" si="3"/>
        <v>0</v>
      </c>
      <c r="L14" s="16">
        <f t="shared" si="3"/>
        <v>0</v>
      </c>
      <c r="M14" s="16">
        <f t="shared" si="3"/>
        <v>3</v>
      </c>
      <c r="N14" s="16">
        <f t="shared" si="3"/>
        <v>0</v>
      </c>
      <c r="O14" s="16">
        <f t="shared" si="3"/>
        <v>0</v>
      </c>
      <c r="P14" s="16">
        <f t="shared" si="3"/>
        <v>6</v>
      </c>
      <c r="Q14" s="16">
        <f t="shared" si="3"/>
        <v>0</v>
      </c>
      <c r="R14" s="16">
        <f t="shared" si="3"/>
        <v>0</v>
      </c>
      <c r="S14" s="16">
        <f t="shared" si="3"/>
        <v>10</v>
      </c>
      <c r="T14" s="16">
        <f t="shared" si="3"/>
        <v>0</v>
      </c>
      <c r="U14" s="16">
        <f t="shared" si="3"/>
        <v>0</v>
      </c>
    </row>
    <row r="15" spans="1:21" s="1" customFormat="1" ht="15.75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1" customFormat="1" ht="15.75" x14ac:dyDescent="0.25">
      <c r="B16" s="30"/>
      <c r="C16" s="30"/>
      <c r="D16" s="30"/>
      <c r="E16" s="30"/>
      <c r="F16" s="30"/>
      <c r="N16" s="30" t="s">
        <v>22</v>
      </c>
      <c r="O16" s="30"/>
      <c r="P16" s="30"/>
      <c r="Q16" s="30"/>
      <c r="R16" s="30"/>
    </row>
    <row r="17" spans="1:21" s="1" customFormat="1" ht="15.75" x14ac:dyDescent="0.25"/>
    <row r="18" spans="1:21" s="1" customFormat="1" ht="15.75" x14ac:dyDescent="0.25"/>
    <row r="19" spans="1:21" s="1" customFormat="1" ht="15.75" x14ac:dyDescent="0.25"/>
    <row r="20" spans="1:21" s="1" customFormat="1" ht="15.75" x14ac:dyDescent="0.25"/>
    <row r="21" spans="1:21" s="1" customFormat="1" ht="15.75" x14ac:dyDescent="0.25"/>
    <row r="22" spans="1:21" ht="15.75" x14ac:dyDescent="0.25">
      <c r="A22" s="1"/>
      <c r="B22" s="30"/>
      <c r="C22" s="30"/>
      <c r="D22" s="30"/>
      <c r="E22" s="30"/>
      <c r="F22" s="30"/>
      <c r="G22" s="1"/>
      <c r="H22" s="1"/>
      <c r="I22" s="1"/>
      <c r="J22" s="1"/>
      <c r="K22" s="1"/>
      <c r="L22" s="1"/>
      <c r="M22" s="1"/>
      <c r="N22" s="30" t="s">
        <v>23</v>
      </c>
      <c r="O22" s="30"/>
      <c r="P22" s="30"/>
      <c r="Q22" s="30"/>
      <c r="R22" s="30"/>
      <c r="S22" s="1"/>
      <c r="T22" s="1"/>
      <c r="U22" s="1"/>
    </row>
  </sheetData>
  <mergeCells count="24">
    <mergeCell ref="B22:F22"/>
    <mergeCell ref="N22:R22"/>
    <mergeCell ref="M7:O7"/>
    <mergeCell ref="P7:R7"/>
    <mergeCell ref="S7:U7"/>
    <mergeCell ref="A14:B14"/>
    <mergeCell ref="B16:F16"/>
    <mergeCell ref="N16:R16"/>
    <mergeCell ref="A6:A8"/>
    <mergeCell ref="B6:B8"/>
    <mergeCell ref="C6:C8"/>
    <mergeCell ref="D6:F6"/>
    <mergeCell ref="G6:U6"/>
    <mergeCell ref="D7:D8"/>
    <mergeCell ref="E7:E8"/>
    <mergeCell ref="F7:F8"/>
    <mergeCell ref="G7:I7"/>
    <mergeCell ref="J7:L7"/>
    <mergeCell ref="A1:U1"/>
    <mergeCell ref="A2:C3"/>
    <mergeCell ref="D2:O3"/>
    <mergeCell ref="Q2:S2"/>
    <mergeCell ref="J4:Q4"/>
    <mergeCell ref="A5:U5"/>
  </mergeCells>
  <pageMargins left="0.51" right="0.36" top="0.56000000000000005" bottom="0.56999999999999995" header="0.3" footer="0.3"/>
  <pageSetup paperSize="9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22"/>
  <sheetViews>
    <sheetView tabSelected="1" zoomScale="115" zoomScaleNormal="115" workbookViewId="0">
      <selection activeCell="W9" sqref="W9"/>
    </sheetView>
  </sheetViews>
  <sheetFormatPr defaultRowHeight="15" x14ac:dyDescent="0.25"/>
  <cols>
    <col min="1" max="1" width="5.7109375" customWidth="1"/>
    <col min="2" max="2" width="21.140625" customWidth="1"/>
    <col min="3" max="3" width="10.42578125" customWidth="1"/>
    <col min="4" max="21" width="5.28515625" customWidth="1"/>
  </cols>
  <sheetData>
    <row r="1" spans="1:21" ht="39.75" customHeight="1" x14ac:dyDescent="0.25">
      <c r="A1" s="21" t="s">
        <v>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ht="16.5" customHeight="1" x14ac:dyDescent="0.25">
      <c r="A2" s="23" t="s">
        <v>15</v>
      </c>
      <c r="B2" s="23"/>
      <c r="C2" s="23"/>
      <c r="D2" s="24" t="s">
        <v>16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"/>
      <c r="Q2" s="25" t="s">
        <v>21</v>
      </c>
      <c r="R2" s="25"/>
      <c r="S2" s="25"/>
      <c r="T2" s="2"/>
      <c r="U2" s="2"/>
    </row>
    <row r="3" spans="1:21" ht="16.5" customHeight="1" x14ac:dyDescent="0.25">
      <c r="A3" s="23"/>
      <c r="B3" s="23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"/>
      <c r="Q3" s="2"/>
      <c r="R3" s="2"/>
      <c r="S3" s="2"/>
      <c r="T3" s="2"/>
      <c r="U3" s="2"/>
    </row>
    <row r="4" spans="1:21" ht="23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6" t="s">
        <v>26</v>
      </c>
      <c r="K4" s="26"/>
      <c r="L4" s="26"/>
      <c r="M4" s="26"/>
      <c r="N4" s="26"/>
      <c r="O4" s="26"/>
      <c r="P4" s="26"/>
      <c r="Q4" s="26"/>
      <c r="R4" s="4"/>
      <c r="S4" s="4"/>
      <c r="T4" s="4"/>
      <c r="U4" s="4"/>
    </row>
    <row r="5" spans="1:21" ht="29.25" customHeight="1" x14ac:dyDescent="0.25">
      <c r="A5" s="27" t="s">
        <v>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spans="1:21" s="3" customFormat="1" ht="31.5" customHeight="1" x14ac:dyDescent="0.25">
      <c r="A6" s="31" t="s">
        <v>3</v>
      </c>
      <c r="B6" s="31" t="s">
        <v>4</v>
      </c>
      <c r="C6" s="32" t="s">
        <v>5</v>
      </c>
      <c r="D6" s="33" t="s">
        <v>17</v>
      </c>
      <c r="E6" s="33"/>
      <c r="F6" s="33"/>
      <c r="G6" s="34" t="s">
        <v>24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</row>
    <row r="7" spans="1:21" s="3" customFormat="1" ht="27.75" customHeight="1" x14ac:dyDescent="0.25">
      <c r="A7" s="31"/>
      <c r="B7" s="31"/>
      <c r="C7" s="32"/>
      <c r="D7" s="35" t="s">
        <v>6</v>
      </c>
      <c r="E7" s="35" t="s">
        <v>7</v>
      </c>
      <c r="F7" s="35" t="s">
        <v>8</v>
      </c>
      <c r="G7" s="33" t="s">
        <v>19</v>
      </c>
      <c r="H7" s="36"/>
      <c r="I7" s="36"/>
      <c r="J7" s="33" t="s">
        <v>2</v>
      </c>
      <c r="K7" s="36"/>
      <c r="L7" s="36"/>
      <c r="M7" s="33" t="s">
        <v>1</v>
      </c>
      <c r="N7" s="36"/>
      <c r="O7" s="36"/>
      <c r="P7" s="33" t="s">
        <v>0</v>
      </c>
      <c r="Q7" s="36"/>
      <c r="R7" s="36"/>
      <c r="S7" s="33" t="s">
        <v>20</v>
      </c>
      <c r="T7" s="36"/>
      <c r="U7" s="36"/>
    </row>
    <row r="8" spans="1:21" s="3" customFormat="1" ht="18.75" customHeight="1" x14ac:dyDescent="0.25">
      <c r="A8" s="31"/>
      <c r="B8" s="31"/>
      <c r="C8" s="32"/>
      <c r="D8" s="35"/>
      <c r="E8" s="35"/>
      <c r="F8" s="35"/>
      <c r="G8" s="8" t="s">
        <v>6</v>
      </c>
      <c r="H8" s="8" t="s">
        <v>7</v>
      </c>
      <c r="I8" s="8" t="s">
        <v>8</v>
      </c>
      <c r="J8" s="8" t="s">
        <v>6</v>
      </c>
      <c r="K8" s="8" t="s">
        <v>7</v>
      </c>
      <c r="L8" s="8" t="s">
        <v>8</v>
      </c>
      <c r="M8" s="8" t="s">
        <v>6</v>
      </c>
      <c r="N8" s="8" t="s">
        <v>7</v>
      </c>
      <c r="O8" s="8" t="s">
        <v>8</v>
      </c>
      <c r="P8" s="8" t="s">
        <v>6</v>
      </c>
      <c r="Q8" s="8" t="s">
        <v>7</v>
      </c>
      <c r="R8" s="8" t="s">
        <v>8</v>
      </c>
      <c r="S8" s="8" t="s">
        <v>6</v>
      </c>
      <c r="T8" s="8" t="s">
        <v>7</v>
      </c>
      <c r="U8" s="8" t="s">
        <v>8</v>
      </c>
    </row>
    <row r="9" spans="1:21" s="3" customFormat="1" ht="18" customHeight="1" x14ac:dyDescent="0.25">
      <c r="A9" s="5">
        <v>1</v>
      </c>
      <c r="B9" s="10" t="s">
        <v>9</v>
      </c>
      <c r="C9" s="11">
        <f>D9+E9+F9</f>
        <v>153</v>
      </c>
      <c r="D9" s="11">
        <f>G9+J9+M9+P9+S9</f>
        <v>149</v>
      </c>
      <c r="E9" s="11">
        <f t="shared" ref="E9:F9" si="0">H9+K9+N9+Q9+T9</f>
        <v>1</v>
      </c>
      <c r="F9" s="11">
        <f t="shared" si="0"/>
        <v>3</v>
      </c>
      <c r="G9" s="11">
        <v>1</v>
      </c>
      <c r="H9" s="11">
        <v>0</v>
      </c>
      <c r="I9" s="11">
        <v>0</v>
      </c>
      <c r="J9" s="11">
        <v>119</v>
      </c>
      <c r="K9" s="11">
        <v>1</v>
      </c>
      <c r="L9" s="11">
        <v>3</v>
      </c>
      <c r="M9" s="11">
        <v>8</v>
      </c>
      <c r="N9" s="11">
        <v>0</v>
      </c>
      <c r="O9" s="11">
        <v>0</v>
      </c>
      <c r="P9" s="11">
        <v>14</v>
      </c>
      <c r="Q9" s="11">
        <v>0</v>
      </c>
      <c r="R9" s="11">
        <v>0</v>
      </c>
      <c r="S9" s="11">
        <v>7</v>
      </c>
      <c r="T9" s="11">
        <v>0</v>
      </c>
      <c r="U9" s="11">
        <v>0</v>
      </c>
    </row>
    <row r="10" spans="1:21" s="3" customFormat="1" ht="18" customHeight="1" x14ac:dyDescent="0.25">
      <c r="A10" s="6">
        <v>2</v>
      </c>
      <c r="B10" s="12" t="s">
        <v>10</v>
      </c>
      <c r="C10" s="13">
        <f t="shared" ref="C10:C13" si="1">D10+E10+F10</f>
        <v>60</v>
      </c>
      <c r="D10" s="13">
        <f t="shared" ref="D10:D13" si="2">G10+J10+M10+P10+S10</f>
        <v>58</v>
      </c>
      <c r="E10" s="13">
        <f t="shared" ref="E10:E13" si="3">H10+K10+N10+Q10+T10</f>
        <v>1</v>
      </c>
      <c r="F10" s="13">
        <f t="shared" ref="F10:F13" si="4">I10+L10+O10+R10+U10</f>
        <v>1</v>
      </c>
      <c r="G10" s="13">
        <v>0</v>
      </c>
      <c r="H10" s="13">
        <v>0</v>
      </c>
      <c r="I10" s="13">
        <v>0</v>
      </c>
      <c r="J10" s="13">
        <v>43</v>
      </c>
      <c r="K10" s="13">
        <v>0</v>
      </c>
      <c r="L10" s="13">
        <v>1</v>
      </c>
      <c r="M10" s="13">
        <v>4</v>
      </c>
      <c r="N10" s="13">
        <v>1</v>
      </c>
      <c r="O10" s="13">
        <v>0</v>
      </c>
      <c r="P10" s="13">
        <v>6</v>
      </c>
      <c r="Q10" s="13">
        <v>0</v>
      </c>
      <c r="R10" s="13">
        <v>0</v>
      </c>
      <c r="S10" s="13">
        <v>5</v>
      </c>
      <c r="T10" s="13">
        <v>0</v>
      </c>
      <c r="U10" s="13">
        <v>0</v>
      </c>
    </row>
    <row r="11" spans="1:21" s="3" customFormat="1" ht="18" customHeight="1" x14ac:dyDescent="0.25">
      <c r="A11" s="6">
        <v>3</v>
      </c>
      <c r="B11" s="12" t="s">
        <v>11</v>
      </c>
      <c r="C11" s="13">
        <f t="shared" si="1"/>
        <v>24</v>
      </c>
      <c r="D11" s="13">
        <f t="shared" si="2"/>
        <v>24</v>
      </c>
      <c r="E11" s="13">
        <f t="shared" si="3"/>
        <v>0</v>
      </c>
      <c r="F11" s="13">
        <f t="shared" si="4"/>
        <v>0</v>
      </c>
      <c r="G11" s="13">
        <v>0</v>
      </c>
      <c r="H11" s="13">
        <v>0</v>
      </c>
      <c r="I11" s="13">
        <v>0</v>
      </c>
      <c r="J11" s="13">
        <v>21</v>
      </c>
      <c r="K11" s="13">
        <v>0</v>
      </c>
      <c r="L11" s="13">
        <v>0</v>
      </c>
      <c r="M11" s="13">
        <v>2</v>
      </c>
      <c r="N11" s="13">
        <v>0</v>
      </c>
      <c r="O11" s="13">
        <v>0</v>
      </c>
      <c r="P11" s="13">
        <v>1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</row>
    <row r="12" spans="1:21" s="3" customFormat="1" ht="18" customHeight="1" x14ac:dyDescent="0.25">
      <c r="A12" s="6">
        <v>4</v>
      </c>
      <c r="B12" s="12" t="s">
        <v>12</v>
      </c>
      <c r="C12" s="13">
        <f t="shared" si="1"/>
        <v>0</v>
      </c>
      <c r="D12" s="13">
        <f t="shared" si="2"/>
        <v>0</v>
      </c>
      <c r="E12" s="13">
        <f t="shared" si="3"/>
        <v>0</v>
      </c>
      <c r="F12" s="13">
        <f t="shared" si="4"/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</row>
    <row r="13" spans="1:21" s="3" customFormat="1" ht="18" customHeight="1" x14ac:dyDescent="0.25">
      <c r="A13" s="7">
        <v>5</v>
      </c>
      <c r="B13" s="14" t="s">
        <v>13</v>
      </c>
      <c r="C13" s="15">
        <f t="shared" si="1"/>
        <v>0</v>
      </c>
      <c r="D13" s="15">
        <f t="shared" si="2"/>
        <v>0</v>
      </c>
      <c r="E13" s="15">
        <f t="shared" si="3"/>
        <v>0</v>
      </c>
      <c r="F13" s="15">
        <f t="shared" si="4"/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</row>
    <row r="14" spans="1:21" s="3" customFormat="1" ht="18" customHeight="1" x14ac:dyDescent="0.25">
      <c r="A14" s="31" t="s">
        <v>14</v>
      </c>
      <c r="B14" s="31"/>
      <c r="C14" s="9">
        <f>SUM(C9:C13)</f>
        <v>237</v>
      </c>
      <c r="D14" s="16">
        <f t="shared" ref="D14:U14" si="5">SUM(D9:D13)</f>
        <v>231</v>
      </c>
      <c r="E14" s="16">
        <f t="shared" si="5"/>
        <v>2</v>
      </c>
      <c r="F14" s="16">
        <f t="shared" si="5"/>
        <v>4</v>
      </c>
      <c r="G14" s="16">
        <f t="shared" si="5"/>
        <v>1</v>
      </c>
      <c r="H14" s="16">
        <f t="shared" si="5"/>
        <v>0</v>
      </c>
      <c r="I14" s="16">
        <f t="shared" si="5"/>
        <v>0</v>
      </c>
      <c r="J14" s="16">
        <f t="shared" si="5"/>
        <v>183</v>
      </c>
      <c r="K14" s="16">
        <f t="shared" si="5"/>
        <v>1</v>
      </c>
      <c r="L14" s="16">
        <f t="shared" si="5"/>
        <v>4</v>
      </c>
      <c r="M14" s="16">
        <f t="shared" si="5"/>
        <v>14</v>
      </c>
      <c r="N14" s="16">
        <f t="shared" si="5"/>
        <v>1</v>
      </c>
      <c r="O14" s="16">
        <f t="shared" si="5"/>
        <v>0</v>
      </c>
      <c r="P14" s="16">
        <f t="shared" si="5"/>
        <v>21</v>
      </c>
      <c r="Q14" s="16">
        <f t="shared" si="5"/>
        <v>0</v>
      </c>
      <c r="R14" s="16">
        <f t="shared" si="5"/>
        <v>0</v>
      </c>
      <c r="S14" s="16">
        <f t="shared" si="5"/>
        <v>12</v>
      </c>
      <c r="T14" s="16">
        <f t="shared" si="5"/>
        <v>0</v>
      </c>
      <c r="U14" s="16">
        <f t="shared" si="5"/>
        <v>0</v>
      </c>
    </row>
    <row r="16" spans="1:21" s="1" customFormat="1" ht="15.75" x14ac:dyDescent="0.25">
      <c r="B16" s="30"/>
      <c r="C16" s="30"/>
      <c r="D16" s="30"/>
      <c r="E16" s="30"/>
      <c r="F16" s="30"/>
      <c r="N16" s="30" t="s">
        <v>22</v>
      </c>
      <c r="O16" s="30"/>
      <c r="P16" s="30"/>
      <c r="Q16" s="30"/>
      <c r="R16" s="30"/>
    </row>
    <row r="17" spans="2:18" s="1" customFormat="1" ht="15.75" x14ac:dyDescent="0.25"/>
    <row r="18" spans="2:18" s="1" customFormat="1" ht="15.75" x14ac:dyDescent="0.25"/>
    <row r="19" spans="2:18" s="1" customFormat="1" ht="15.75" x14ac:dyDescent="0.25"/>
    <row r="20" spans="2:18" s="1" customFormat="1" ht="15.75" x14ac:dyDescent="0.25"/>
    <row r="21" spans="2:18" s="1" customFormat="1" ht="15.75" x14ac:dyDescent="0.25"/>
    <row r="22" spans="2:18" s="1" customFormat="1" ht="15.75" x14ac:dyDescent="0.25">
      <c r="B22" s="30"/>
      <c r="C22" s="30"/>
      <c r="D22" s="30"/>
      <c r="E22" s="30"/>
      <c r="F22" s="30"/>
      <c r="N22" s="30" t="s">
        <v>23</v>
      </c>
      <c r="O22" s="30"/>
      <c r="P22" s="30"/>
      <c r="Q22" s="30"/>
      <c r="R22" s="30"/>
    </row>
  </sheetData>
  <mergeCells count="24">
    <mergeCell ref="A1:U1"/>
    <mergeCell ref="B22:F22"/>
    <mergeCell ref="N22:R22"/>
    <mergeCell ref="D7:D8"/>
    <mergeCell ref="E7:E8"/>
    <mergeCell ref="F7:F8"/>
    <mergeCell ref="G7:I7"/>
    <mergeCell ref="J7:L7"/>
    <mergeCell ref="M7:O7"/>
    <mergeCell ref="B6:B8"/>
    <mergeCell ref="C6:C8"/>
    <mergeCell ref="D6:F6"/>
    <mergeCell ref="G6:U6"/>
    <mergeCell ref="P7:R7"/>
    <mergeCell ref="S7:U7"/>
    <mergeCell ref="A14:B14"/>
    <mergeCell ref="B16:F16"/>
    <mergeCell ref="N16:R16"/>
    <mergeCell ref="A6:A8"/>
    <mergeCell ref="A2:C3"/>
    <mergeCell ref="D2:O3"/>
    <mergeCell ref="Q2:S2"/>
    <mergeCell ref="J4:Q4"/>
    <mergeCell ref="A5:U5"/>
  </mergeCells>
  <pageMargins left="0.63" right="0.17" top="0.5600000000000000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Quảng Ninh</vt:lpstr>
      <vt:lpstr>Ha tĩnh</vt:lpstr>
      <vt:lpstr>Ninh Bình</vt:lpstr>
      <vt:lpstr>Hưng Yên</vt:lpstr>
      <vt:lpstr>nghệ an</vt:lpstr>
      <vt:lpstr>THANH HÓA</vt:lpstr>
      <vt:lpstr>TỔNG HỢP</vt:lpstr>
      <vt:lpstr>'Ha tĩnh'!Print_Area</vt:lpstr>
      <vt:lpstr>'Hưng Yên'!Print_Area</vt:lpstr>
      <vt:lpstr>'Ninh Bình'!Print_Area</vt:lpstr>
      <vt:lpstr>'nghệ an'!Print_Area</vt:lpstr>
      <vt:lpstr>'Quảng Ninh'!Print_Area</vt:lpstr>
      <vt:lpstr>'TỔNG HỢP'!Print_Area</vt:lpstr>
      <vt:lpstr>'THANH HÓA'!Print_Area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Windows 10</cp:lastModifiedBy>
  <cp:lastPrinted>2026-03-25T01:54:49Z</cp:lastPrinted>
  <dcterms:created xsi:type="dcterms:W3CDTF">2020-04-06T08:37:48Z</dcterms:created>
  <dcterms:modified xsi:type="dcterms:W3CDTF">2026-05-11T07:12:00Z</dcterms:modified>
</cp:coreProperties>
</file>